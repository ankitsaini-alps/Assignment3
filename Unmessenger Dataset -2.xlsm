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A6E6D008-CA74-4D9E-8ECF-4C55D2FB62D7}" xr6:coauthVersionLast="47" xr6:coauthVersionMax="47" xr10:uidLastSave="{00000000-0000-0000-0000-000000000000}"/>
  <bookViews>
    <workbookView xWindow="-120" yWindow="-120" windowWidth="19440" windowHeight="10440" xr2:uid="{6062794C-D024-45A6-BAC4-75B41AD6892C}"/>
  </bookViews>
  <sheets>
    <sheet name="Unmessenge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H4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S8" i="1"/>
  <c r="S9" i="1"/>
  <c r="S10" i="1"/>
  <c r="S11" i="1"/>
  <c r="S12" i="1"/>
  <c r="S13" i="1"/>
  <c r="S14" i="1"/>
  <c r="S17" i="1"/>
  <c r="S20" i="1"/>
  <c r="S22" i="1"/>
  <c r="S26" i="1"/>
  <c r="S28" i="1"/>
  <c r="S30" i="1"/>
  <c r="S33" i="1"/>
  <c r="S36" i="1"/>
  <c r="S38" i="1"/>
  <c r="S40" i="1"/>
  <c r="S43" i="1"/>
  <c r="S46" i="1"/>
  <c r="L8" i="1"/>
  <c r="L9" i="1"/>
  <c r="L10" i="1"/>
  <c r="L11" i="1"/>
  <c r="L12" i="1"/>
  <c r="L13" i="1"/>
  <c r="L14" i="1"/>
  <c r="L15" i="1"/>
  <c r="L16" i="1"/>
  <c r="L17" i="1"/>
  <c r="L19" i="1"/>
  <c r="L20" i="1"/>
  <c r="L22" i="1"/>
  <c r="L23" i="1"/>
  <c r="L24" i="1"/>
  <c r="L25" i="1"/>
  <c r="L26" i="1"/>
  <c r="L27" i="1"/>
  <c r="L28" i="1"/>
  <c r="L29" i="1"/>
  <c r="L30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6" i="1"/>
  <c r="I4" i="1"/>
  <c r="L21" i="1" s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R45" i="1"/>
  <c r="S45" i="1" s="1"/>
  <c r="R44" i="1"/>
  <c r="S44" i="1" s="1"/>
  <c r="R42" i="1"/>
  <c r="S42" i="1" s="1"/>
  <c r="R41" i="1"/>
  <c r="S41" i="1" s="1"/>
  <c r="R39" i="1"/>
  <c r="S39" i="1" s="1"/>
  <c r="R37" i="1"/>
  <c r="S37" i="1" s="1"/>
  <c r="R35" i="1"/>
  <c r="S35" i="1" s="1"/>
  <c r="R34" i="1"/>
  <c r="S34" i="1" s="1"/>
  <c r="R32" i="1"/>
  <c r="S32" i="1" s="1"/>
  <c r="R31" i="1"/>
  <c r="S31" i="1" s="1"/>
  <c r="R29" i="1"/>
  <c r="S29" i="1" s="1"/>
  <c r="R27" i="1"/>
  <c r="S27" i="1" s="1"/>
  <c r="R25" i="1"/>
  <c r="S25" i="1" s="1"/>
  <c r="R24" i="1"/>
  <c r="S24" i="1" s="1"/>
  <c r="R23" i="1"/>
  <c r="S23" i="1" s="1"/>
  <c r="R21" i="1"/>
  <c r="S21" i="1" s="1"/>
  <c r="R19" i="1"/>
  <c r="S19" i="1" s="1"/>
  <c r="R18" i="1"/>
  <c r="S18" i="1" s="1"/>
  <c r="R16" i="1"/>
  <c r="S16" i="1" s="1"/>
  <c r="R15" i="1"/>
  <c r="S15" i="1" s="1"/>
  <c r="L31" i="1" l="1"/>
  <c r="L18" i="1"/>
  <c r="L45" i="1"/>
</calcChain>
</file>

<file path=xl/sharedStrings.xml><?xml version="1.0" encoding="utf-8"?>
<sst xmlns="http://schemas.openxmlformats.org/spreadsheetml/2006/main" count="218" uniqueCount="145">
  <si>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</si>
  <si>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</si>
  <si>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</si>
  <si>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</si>
  <si>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</si>
  <si>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</si>
  <si>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</si>
  <si>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</si>
  <si>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</si>
  <si>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</si>
  <si>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</si>
  <si>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</si>
  <si>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</si>
  <si>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</si>
  <si>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</si>
  <si>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</si>
  <si>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</si>
  <si>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</si>
  <si>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</si>
  <si>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</si>
  <si>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</si>
  <si>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</si>
  <si>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</si>
  <si>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</si>
  <si>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</si>
  <si>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</si>
  <si>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</si>
  <si>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</si>
  <si>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</si>
  <si>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</si>
  <si>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</si>
  <si>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</si>
  <si>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</si>
  <si>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</si>
  <si>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</si>
  <si>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</si>
  <si>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</si>
  <si>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</si>
  <si>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</si>
  <si>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</si>
  <si>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</si>
  <si>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</si>
  <si>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</si>
  <si>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</si>
  <si>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</si>
  <si>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</si>
  <si>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</si>
  <si>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</si>
  <si>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</si>
  <si>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</si>
  <si>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</si>
  <si>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</si>
  <si>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</si>
  <si>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</si>
  <si>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</si>
  <si>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</si>
  <si>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</si>
  <si>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</si>
  <si>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</si>
  <si>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</si>
  <si>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</si>
  <si>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</si>
  <si>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</si>
  <si>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</si>
  <si>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</si>
  <si>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</si>
  <si>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</si>
  <si>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</si>
  <si>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</si>
  <si>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</si>
  <si>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</si>
  <si>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</si>
  <si>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</si>
  <si>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</si>
  <si>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</si>
  <si>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</si>
  <si>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</si>
  <si>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</si>
  <si>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</si>
  <si>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</si>
  <si>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</si>
  <si>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</si>
  <si>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</si>
  <si>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</si>
  <si>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</si>
  <si>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</si>
  <si>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</si>
  <si>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</si>
  <si>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</si>
  <si>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</si>
  <si>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</si>
  <si>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</si>
  <si>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</si>
  <si>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</si>
  <si>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</si>
  <si>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</si>
  <si>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</si>
  <si>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</si>
  <si>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</si>
  <si>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</si>
  <si>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</si>
  <si>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</si>
  <si>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</si>
  <si>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</si>
  <si>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</si>
  <si>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</si>
  <si>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</si>
  <si>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</si>
  <si>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</si>
  <si>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</si>
  <si>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</si>
  <si>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</si>
  <si>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</si>
  <si>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</si>
  <si>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</si>
  <si>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</si>
  <si>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</si>
  <si>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</si>
  <si>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</si>
  <si>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</si>
  <si>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</si>
  <si>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</si>
  <si>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</si>
  <si>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</si>
  <si>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</si>
  <si>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</si>
  <si>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</si>
  <si>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</si>
  <si>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Finance/Accounts</t>
  </si>
  <si>
    <t>Mangement</t>
  </si>
  <si>
    <t>Data Science</t>
  </si>
  <si>
    <t>DaTa SciENce</t>
  </si>
  <si>
    <t>91-6666666666</t>
  </si>
  <si>
    <t>Name Cleaning</t>
  </si>
  <si>
    <t>Age Mean</t>
  </si>
  <si>
    <t>Age Cleaning</t>
  </si>
  <si>
    <t>Phone Cleaning</t>
  </si>
  <si>
    <t>Email Cleaning</t>
  </si>
  <si>
    <t>Department  Cleaning</t>
  </si>
  <si>
    <t>It Development</t>
  </si>
  <si>
    <t>Management</t>
  </si>
  <si>
    <t>Address Cleaning</t>
  </si>
  <si>
    <t>Name Cleaning2</t>
  </si>
  <si>
    <t>Name Cleaning3</t>
  </si>
  <si>
    <t>Name Cleaning4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</si>
</sst>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1" xfId="0" applyFont="1" applyFill="1" applyBorder="1"/>
    <xf numFmtId="0" fontId="0" fillId="4" borderId="1" xfId="0" applyFont="1" applyFill="1" applyBorder="1"/>
    <xf numFmtId="1" fontId="0" fillId="0" borderId="0" xfId="0" applyNumberFormat="1"/>
  </cellXfs>
  <cellStyles count="1">
    <cellStyle name="Normal" xfId="0" builtinId="0"/>
  </cellStyles>
  <dxfs count="21"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480060</xdr:colOff>
      <xdr:row>0</xdr:row>
      <xdr:rowOff>114300</xdr:rowOff>
    </xdr:from>
    <xdr:to>
      <xdr:col>17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10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V46" totalsRowShown="0" headerRowDxfId="20" dataDxfId="19">
  <autoFilter ref="E7:V46" xr:uid="{571E5664-3A18-422E-AB49-8BBF00D55019}"/>
  <tableColumns count="18">
    <tableColumn id="1" xr3:uid="{0F186AC9-7116-4750-8350-32E39657BDEF}" name="Id" dataDxfId="18"/>
    <tableColumn id="2" xr3:uid="{587ADADF-3A31-4671-AAB2-636A2204C2A1}" name="Name" dataDxfId="17"/>
    <tableColumn id="18" xr3:uid="{6C7BEA92-7367-41FB-816B-8C7687DA6515}" name="Name Cleaning" dataDxfId="0">
      <calculatedColumnFormula>IF(ISBLANK(Table1[[#This Row],[Name]]),PROPER(LEFT(SUBSTITUTE(Table1[[#This Row],[Email]],"."," "), SEARCH(" ",SUBSTITUTE(Table1[[#This Row],[Email]],"."," "))-1)),Table1[[#This Row],[Name]])</calculatedColumnFormula>
    </tableColumn>
    <tableColumn id="16" xr3:uid="{8F8E4942-F6DC-488D-A6CE-084EA8920026}" name="Name Cleaning4" dataDxfId="3">
      <calculatedColumnFormula>IF(ISBLANK(Table1[[#This Row],[Name]]),PROPER(LEFT(SUBSTITUTE(Table1[[#This Row],[Email]],"."," "), SEARCH(" ",SUBSTITUTE(Table1[[#This Row],[Email]],"."," "))-1)),Table1[[#This Row],[Name]])</calculatedColumnFormula>
    </tableColumn>
    <tableColumn id="10" xr3:uid="{2ED4A5A1-B458-4C09-B78A-4F7ADE5E7A8C}" name="Name Cleaning2" dataDxfId="13">
      <calculatedColumnFormula>IF(ISBLANK(Table1[[#This Row],[Name]]),PROPER(LEFT(SUBSTITUTE(Table1[[#This Row],[Email]],"."," "), SEARCH(" ",SUBSTITUTE(Table1[[#This Row],[Email]],"."," "))-1)),Table1[[#This Row],[Name]])</calculatedColumnFormula>
    </tableColumn>
    <tableColumn id="17" xr3:uid="{77B7AD52-00D3-4708-A240-C42A1996AE97}" name="Name Cleaning3"/>
    <tableColumn id="3" xr3:uid="{D20B21E4-141B-4F80-B509-FFFDBDDDD7F4}" name="Age" dataDxfId="9"/>
    <tableColumn id="11" xr3:uid="{53524273-6C75-4588-BAC9-8F446FA8A88A}" name="Age Cleaning" dataDxfId="7">
      <calculatedColumnFormula>IF(ISBLANK(Table1[[#This Row],[Age]]),$I$4,Table1[[#This Row],[Age]])</calculatedColumnFormula>
    </tableColumn>
    <tableColumn id="4" xr3:uid="{988050FD-7A13-4567-B7F1-B83DFF6C50D6}" name="Gender" dataDxfId="8"/>
    <tableColumn id="5" xr3:uid="{71DD8E56-AB70-41BA-BE06-62EA46C80DEC}" name="Department" dataDxfId="16"/>
    <tableColumn id="14" xr3:uid="{96B4A41E-93C6-4309-B85A-03E333C5262C}" name="Department  Cleaning" dataDxfId="5">
      <calculatedColumnFormula>UPPER(Table1[[#This Row],[Department]])</calculatedColumnFormula>
    </tableColumn>
    <tableColumn id="6" xr3:uid="{C20650CA-3DDE-4C63-83CA-462380F46BB4}" name="Email" dataDxfId="15"/>
    <tableColumn id="13" xr3:uid="{7945754F-F7EF-4E66-B3F6-6F566DC54731}" name="Email Cleaning" dataDxfId="6">
      <calculatedColumnFormula>IF(ISBLANK(Table1[[#This Row],[Email]]),"support@dataisgood.com",Table1[[#This Row],[Email]])</calculatedColumnFormula>
    </tableColumn>
    <tableColumn id="7" xr3:uid="{9F3F4B7E-0B29-4F47-944B-C89BC5596DA2}" name="Phone" dataDxfId="12"/>
    <tableColumn id="12" xr3:uid="{2E9BD466-E830-4008-97B4-A0A5220857C2}" name="Phone Cleaning" dataDxfId="10">
      <calculatedColumnFormula>IF(AND(ISNUMBER(Table1[[#This Row],[Phone]]), LEN(Table1[[#This Row],[Phone]])=11, LEFT(Table1[[#This Row],[Phone]],1)="-"), "91" &amp; MID(Table1[[#This Row],[Phone]], 1, 11), Table1[[#This Row],[Phone]])</calculatedColumnFormula>
    </tableColumn>
    <tableColumn id="8" xr3:uid="{9894F713-829B-4BE3-B5D2-22F23DA72823}" name="Address" dataDxfId="11"/>
    <tableColumn id="15" xr3:uid="{B28AAD80-9691-48AB-89E6-CCF75F9E26DF}" name="Address Cleaning" dataDxfId="4">
      <calculatedColumnFormula>IF(ISBLANK(Table1[[#This Row],[Address]]),"Address not Available",Table1[[#This Row],[Address]])</calculatedColumnFormula>
    </tableColumn>
    <tableColumn id="9" xr3:uid="{69CDA7D3-FED4-49AB-9173-918B9E817F84}" name="Salary" dataDxfId="14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4:V46"/>
  <sheetViews>
    <sheetView tabSelected="1" topLeftCell="A3" workbookViewId="0">
      <selection activeCell="G13" sqref="G13"/>
    </sheetView>
  </sheetViews>
  <sheetFormatPr defaultRowHeight="15" x14ac:dyDescent="0.25"/>
  <cols>
    <col min="5" max="5" width="15.5703125" customWidth="1"/>
    <col min="7" max="8" width="16.5703125" bestFit="1" customWidth="1"/>
    <col min="9" max="9" width="14.28515625" bestFit="1" customWidth="1"/>
    <col min="10" max="10" width="14.28515625" customWidth="1"/>
    <col min="11" max="11" width="6.7109375" bestFit="1" customWidth="1"/>
    <col min="12" max="12" width="22.28515625" customWidth="1"/>
    <col min="13" max="13" width="9.7109375" bestFit="1" customWidth="1"/>
    <col min="14" max="14" width="16.85546875" bestFit="1" customWidth="1"/>
    <col min="15" max="15" width="22.28515625" bestFit="1" customWidth="1"/>
    <col min="16" max="16" width="27.140625" bestFit="1" customWidth="1"/>
    <col min="17" max="17" width="27.140625" customWidth="1"/>
    <col min="18" max="18" width="13.85546875" bestFit="1" customWidth="1"/>
    <col min="19" max="19" width="15" bestFit="1" customWidth="1"/>
    <col min="20" max="20" width="39.5703125" bestFit="1" customWidth="1"/>
    <col min="21" max="21" width="39.5703125" customWidth="1"/>
    <col min="22" max="22" width="9" bestFit="1" customWidth="1"/>
  </cols>
  <sheetData>
    <row r="4" spans="5:22" x14ac:dyDescent="0.25">
      <c r="F4" t="s">
        <v>134</v>
      </c>
      <c r="H4">
        <f>AVERAGE(Table1[Age])</f>
        <v>29.685714285714287</v>
      </c>
      <c r="I4" s="4">
        <f>AVERAGE(Table1[Age])</f>
        <v>29.685714285714287</v>
      </c>
      <c r="J4" s="4"/>
    </row>
    <row r="7" spans="5:22" ht="16.5" x14ac:dyDescent="0.3">
      <c r="E7" s="1" t="s">
        <v>1</v>
      </c>
      <c r="F7" s="1" t="s">
        <v>0</v>
      </c>
      <c r="G7" s="1" t="s">
        <v>133</v>
      </c>
      <c r="H7" s="1" t="s">
        <v>144</v>
      </c>
      <c r="I7" s="1" t="s">
        <v>142</v>
      </c>
      <c r="J7" s="1" t="s">
        <v>143</v>
      </c>
      <c r="K7" s="1" t="s">
        <v>2</v>
      </c>
      <c r="L7" s="1" t="s">
        <v>135</v>
      </c>
      <c r="M7" s="1" t="s">
        <v>3</v>
      </c>
      <c r="N7" s="1" t="s">
        <v>118</v>
      </c>
      <c r="O7" s="1" t="s">
        <v>138</v>
      </c>
      <c r="P7" s="1" t="s">
        <v>4</v>
      </c>
      <c r="Q7" s="1" t="s">
        <v>137</v>
      </c>
      <c r="R7" s="1" t="s">
        <v>5</v>
      </c>
      <c r="S7" s="1" t="s">
        <v>136</v>
      </c>
      <c r="T7" s="1" t="s">
        <v>6</v>
      </c>
      <c r="U7" s="1" t="s">
        <v>141</v>
      </c>
      <c r="V7" s="1" t="s">
        <v>112</v>
      </c>
    </row>
    <row r="8" spans="5:22" x14ac:dyDescent="0.25">
      <c r="E8">
        <v>1</v>
      </c>
      <c r="F8" t="s">
        <v>20</v>
      </c>
      <c r="G8" t="str">
        <f>IF(ISBLANK(Table1[[#This Row],[Name]]),PROPER(LEFT(SUBSTITUTE(Table1[[#This Row],[Email]],"."," "), SEARCH(" ",SUBSTITUTE(Table1[[#This Row],[Email]],"."," "))-1)),Table1[[#This Row],[Name]])</f>
        <v>John Doe</v>
      </c>
      <c r="H8" t="str">
        <f>IF(ISBLANK(Table1[[#This Row],[Name]]),PROPER(LEFT(SUBSTITUTE(Table1[[#This Row],[Email]],"."," "), SEARCH(" ",SUBSTITUTE(Table1[[#This Row],[Email]],"."," "))-1)),Table1[[#This Row],[Name]])</f>
        <v>John Doe</v>
      </c>
      <c r="I8" t="str">
        <f>IF(ISBLANK(Table1[[#This Row],[Name]]),PROPER(LEFT(SUBSTITUTE(Table1[[#This Row],[Email]],"."," "), SEARCH(" ",SUBSTITUTE(Table1[[#This Row],[Email]],"."," "))-1)),Table1[[#This Row],[Name]])</f>
        <v>John Doe</v>
      </c>
      <c r="K8">
        <v>32</v>
      </c>
      <c r="L8" s="4">
        <f>IF(ISBLANK(Table1[[#This Row],[Age]]),$I$4,Table1[[#This Row],[Age]])</f>
        <v>32</v>
      </c>
      <c r="M8" t="s">
        <v>7</v>
      </c>
      <c r="N8" t="s">
        <v>125</v>
      </c>
      <c r="O8" t="str">
        <f>UPPER(Table1[[#This Row],[Department]])</f>
        <v>OPERATIONS</v>
      </c>
      <c r="P8" t="s">
        <v>21</v>
      </c>
      <c r="Q8" t="str">
        <f>IF(ISBLANK(Table1[[#This Row],[Email]]),"support@dataisgood.com",Table1[[#This Row],[Email]])</f>
        <v>john.doe@gmail.com</v>
      </c>
      <c r="R8" t="s">
        <v>113</v>
      </c>
      <c r="S8" s="4" t="str">
        <f>IF(AND(ISNUMBER(Table1[[#This Row],[Phone]]), LEN(Table1[[#This Row],[Phone]])=11, LEFT(Table1[[#This Row],[Phone]],1)="-"), "91" &amp; MID(Table1[[#This Row],[Phone]], 1, 11), Table1[[#This Row],[Phone]])</f>
        <v>91-1234567890</v>
      </c>
      <c r="T8" t="s">
        <v>22</v>
      </c>
      <c r="U8" t="str">
        <f>IF(ISBLANK(Table1[[#This Row],[Address]]),"Address not Available",Table1[[#This Row],[Address]])</f>
        <v>123 Main St, Bangalore, Karnataka, India</v>
      </c>
      <c r="V8">
        <v>4553</v>
      </c>
    </row>
    <row r="9" spans="5:22" x14ac:dyDescent="0.25">
      <c r="E9">
        <v>2</v>
      </c>
      <c r="F9" t="s">
        <v>23</v>
      </c>
      <c r="G9" t="str">
        <f>IF(ISBLANK(Table1[[#This Row],[Name]]),PROPER(LEFT(SUBSTITUTE(Table1[[#This Row],[Email]],"."," "), SEARCH(" ",SUBSTITUTE(Table1[[#This Row],[Email]],"."," "))-1)),Table1[[#This Row],[Name]])</f>
        <v>Jane Smith</v>
      </c>
      <c r="H9" t="str">
        <f>IF(ISBLANK(Table1[[#This Row],[Name]]),PROPER(LEFT(SUBSTITUTE(Table1[[#This Row],[Email]],"."," "), SEARCH(" ",SUBSTITUTE(Table1[[#This Row],[Email]],"."," "))-1)),Table1[[#This Row],[Name]])</f>
        <v>Jane Smith</v>
      </c>
      <c r="I9" t="str">
        <f>IF(ISBLANK(Table1[[#This Row],[Name]]),PROPER(LEFT(SUBSTITUTE(Table1[[#This Row],[Email]],"."," "), SEARCH(" ",SUBSTITUTE(Table1[[#This Row],[Email]],"."," "))-1)),Table1[[#This Row],[Name]])</f>
        <v>Jane Smith</v>
      </c>
      <c r="K9">
        <v>28</v>
      </c>
      <c r="L9" s="4">
        <f>IF(ISBLANK(Table1[[#This Row],[Age]]),$I$4,Table1[[#This Row],[Age]])</f>
        <v>28</v>
      </c>
      <c r="M9" t="s">
        <v>8</v>
      </c>
      <c r="N9" t="s">
        <v>126</v>
      </c>
      <c r="O9" t="str">
        <f>UPPER(Table1[[#This Row],[Department]])</f>
        <v>IT DEPARTMENT</v>
      </c>
      <c r="P9" t="s">
        <v>24</v>
      </c>
      <c r="Q9" t="str">
        <f>IF(ISBLANK(Table1[[#This Row],[Email]]),"support@dataisgood.com",Table1[[#This Row],[Email]])</f>
        <v>jane.smith@hotmail.com</v>
      </c>
      <c r="R9" t="s">
        <v>114</v>
      </c>
      <c r="S9" s="4" t="str">
        <f>IF(AND(ISNUMBER(Table1[[#This Row],[Phone]]), LEN(Table1[[#This Row],[Phone]])=11, LEFT(Table1[[#This Row],[Phone]],1)="-"), "91" &amp; MID(Table1[[#This Row],[Phone]], 1, 11), Table1[[#This Row],[Phone]])</f>
        <v>91-9876543210</v>
      </c>
      <c r="T9" t="s">
        <v>25</v>
      </c>
      <c r="U9" t="str">
        <f>IF(ISBLANK(Table1[[#This Row],[Address]]),"Address not Available",Table1[[#This Row],[Address]])</f>
        <v>456 Park Ave, Mumbai, Maharashtra, India</v>
      </c>
      <c r="V9">
        <v>31169</v>
      </c>
    </row>
    <row r="10" spans="5:22" x14ac:dyDescent="0.25">
      <c r="E10">
        <v>3</v>
      </c>
      <c r="F10" t="s">
        <v>26</v>
      </c>
      <c r="G10" t="str">
        <f>IF(ISBLANK(Table1[[#This Row],[Name]]),PROPER(LEFT(SUBSTITUTE(Table1[[#This Row],[Email]],"."," "), SEARCH(" ",SUBSTITUTE(Table1[[#This Row],[Email]],"."," "))-1)),Table1[[#This Row],[Name]])</f>
        <v>Amit Patel</v>
      </c>
      <c r="H10" t="str">
        <f>IF(ISBLANK(Table1[[#This Row],[Name]]),PROPER(LEFT(SUBSTITUTE(Table1[[#This Row],[Email]],"."," "), SEARCH(" ",SUBSTITUTE(Table1[[#This Row],[Email]],"."," "))-1)),Table1[[#This Row],[Name]])</f>
        <v>Amit Patel</v>
      </c>
      <c r="I10" t="str">
        <f>IF(ISBLANK(Table1[[#This Row],[Name]]),PROPER(LEFT(SUBSTITUTE(Table1[[#This Row],[Email]],"."," "), SEARCH(" ",SUBSTITUTE(Table1[[#This Row],[Email]],"."," "))-1)),Table1[[#This Row],[Name]])</f>
        <v>Amit Patel</v>
      </c>
      <c r="K10">
        <v>27</v>
      </c>
      <c r="L10" s="4">
        <f>IF(ISBLANK(Table1[[#This Row],[Age]]),$I$4,Table1[[#This Row],[Age]])</f>
        <v>27</v>
      </c>
      <c r="M10" t="s">
        <v>7</v>
      </c>
      <c r="N10" t="s">
        <v>139</v>
      </c>
      <c r="O10" t="str">
        <f>UPPER(Table1[[#This Row],[Department]])</f>
        <v>IT DEVELOPMENT</v>
      </c>
      <c r="P10" t="s">
        <v>27</v>
      </c>
      <c r="Q10" t="str">
        <f>IF(ISBLANK(Table1[[#This Row],[Email]]),"support@dataisgood.com",Table1[[#This Row],[Email]])</f>
        <v>amit.patel@gmail.com</v>
      </c>
      <c r="R10" t="s">
        <v>115</v>
      </c>
      <c r="S10" s="4" t="str">
        <f>IF(AND(ISNUMBER(Table1[[#This Row],[Phone]]), LEN(Table1[[#This Row],[Phone]])=11, LEFT(Table1[[#This Row],[Phone]],1)="-"), "91" &amp; MID(Table1[[#This Row],[Phone]], 1, 11), Table1[[#This Row],[Phone]])</f>
        <v>91-8765432109</v>
      </c>
      <c r="T10" t="s">
        <v>28</v>
      </c>
      <c r="U10" t="str">
        <f>IF(ISBLANK(Table1[[#This Row],[Address]]),"Address not Available",Table1[[#This Row],[Address]])</f>
        <v>789 3rd St, Kolkata, West Bengal, India</v>
      </c>
      <c r="V10">
        <v>11116</v>
      </c>
    </row>
    <row r="11" spans="5:22" x14ac:dyDescent="0.25">
      <c r="E11">
        <v>4</v>
      </c>
      <c r="F11" t="s">
        <v>29</v>
      </c>
      <c r="G11" t="str">
        <f>IF(ISBLANK(Table1[[#This Row],[Name]]),PROPER(LEFT(SUBSTITUTE(Table1[[#This Row],[Email]],"."," "), SEARCH(" ",SUBSTITUTE(Table1[[#This Row],[Email]],"."," "))-1)),Table1[[#This Row],[Name]])</f>
        <v>Priya Sharma</v>
      </c>
      <c r="H11" t="str">
        <f>IF(ISBLANK(Table1[[#This Row],[Name]]),PROPER(LEFT(SUBSTITUTE(Table1[[#This Row],[Email]],"."," "), SEARCH(" ",SUBSTITUTE(Table1[[#This Row],[Email]],"."," "))-1)),Table1[[#This Row],[Name]])</f>
        <v>Priya Sharma</v>
      </c>
      <c r="I11" t="str">
        <f>IF(ISBLANK(Table1[[#This Row],[Name]]),PROPER(LEFT(SUBSTITUTE(Table1[[#This Row],[Email]],"."," "), SEARCH(" ",SUBSTITUTE(Table1[[#This Row],[Email]],"."," "))-1)),Table1[[#This Row],[Name]])</f>
        <v>Priya Sharma</v>
      </c>
      <c r="K11">
        <v>33</v>
      </c>
      <c r="L11" s="4">
        <f>IF(ISBLANK(Table1[[#This Row],[Age]]),$I$4,Table1[[#This Row],[Age]])</f>
        <v>33</v>
      </c>
      <c r="M11" t="s">
        <v>8</v>
      </c>
      <c r="N11" t="s">
        <v>120</v>
      </c>
      <c r="O11" t="str">
        <f>UPPER(Table1[[#This Row],[Department]])</f>
        <v>SALES</v>
      </c>
      <c r="P11" t="s">
        <v>30</v>
      </c>
      <c r="Q11" t="str">
        <f>IF(ISBLANK(Table1[[#This Row],[Email]]),"support@dataisgood.com",Table1[[#This Row],[Email]])</f>
        <v>priya.sharma@yahoo.com</v>
      </c>
      <c r="R11" t="s">
        <v>116</v>
      </c>
      <c r="S11" s="4" t="str">
        <f>IF(AND(ISNUMBER(Table1[[#This Row],[Phone]]), LEN(Table1[[#This Row],[Phone]])=11, LEFT(Table1[[#This Row],[Phone]],1)="-"), "91" &amp; MID(Table1[[#This Row],[Phone]], 1, 11), Table1[[#This Row],[Phone]])</f>
        <v>91-5555555555</v>
      </c>
      <c r="T11" t="s">
        <v>31</v>
      </c>
      <c r="U11" t="str">
        <f>IF(ISBLANK(Table1[[#This Row],[Address]]),"Address not Available",Table1[[#This Row],[Address]])</f>
        <v>12 4th St, New Delhi, Delhi, India</v>
      </c>
      <c r="V11">
        <v>33457</v>
      </c>
    </row>
    <row r="12" spans="5:22" x14ac:dyDescent="0.25">
      <c r="E12">
        <v>5</v>
      </c>
      <c r="G12" t="str">
        <f>IF(ISBLANK(Table1[[#This Row],[Name]]),PROPER(LEFT(SUBSTITUTE(Table1[[#This Row],[Email]],"."," "), SEARCH(" ",SUBSTITUTE(Table1[[#This Row],[Email]],"."," "))-1)),Table1[[#This Row],[Name]])</f>
        <v>Jane</v>
      </c>
      <c r="H12" t="str">
        <f>IF(ISBLANK(Table1[[#This Row],[Name]]),PROPER(LEFT(SUBSTITUTE(Table1[[#This Row],[Email]],"."," "), SEARCH(" ",SUBSTITUTE(Table1[[#This Row],[Email]],"."," "))-1)),Table1[[#This Row],[Name]])</f>
        <v>Jane</v>
      </c>
      <c r="I12" t="str">
        <f>IF(ISBLANK(Table1[[#This Row],[Name]]),PROPER(LEFT(SUBSTITUTE(Table1[[#This Row],[Email]],"."," "), SEARCH(" ",SUBSTITUTE(Table1[[#This Row],[Email]],"."," "))-1)),Table1[[#This Row],[Name]])</f>
        <v>Jane</v>
      </c>
      <c r="K12">
        <v>29</v>
      </c>
      <c r="L12" s="4">
        <f>IF(ISBLANK(Table1[[#This Row],[Age]]),$I$4,Table1[[#This Row],[Age]])</f>
        <v>29</v>
      </c>
      <c r="M12" t="s">
        <v>8</v>
      </c>
      <c r="N12" t="s">
        <v>127</v>
      </c>
      <c r="O12" t="str">
        <f>UPPER(Table1[[#This Row],[Department]])</f>
        <v>SALES</v>
      </c>
      <c r="P12" t="s">
        <v>32</v>
      </c>
      <c r="Q12" t="str">
        <f>IF(ISBLANK(Table1[[#This Row],[Email]]),"support@dataisgood.com",Table1[[#This Row],[Email]])</f>
        <v>jane.doe@gmail.com</v>
      </c>
      <c r="S12" s="4">
        <f>IF(AND(ISNUMBER(Table1[[#This Row],[Phone]]), LEN(Table1[[#This Row],[Phone]])=11, LEFT(Table1[[#This Row],[Phone]],1)="-"), "91" &amp; MID(Table1[[#This Row],[Phone]], 1, 11), Table1[[#This Row],[Phone]])</f>
        <v>0</v>
      </c>
      <c r="U12" t="str">
        <f>IF(ISBLANK(Table1[[#This Row],[Address]]),"Address not Available",Table1[[#This Row],[Address]])</f>
        <v>Address not Available</v>
      </c>
      <c r="V12">
        <v>21918</v>
      </c>
    </row>
    <row r="13" spans="5:22" x14ac:dyDescent="0.25">
      <c r="E13">
        <v>6</v>
      </c>
      <c r="F13" t="s">
        <v>33</v>
      </c>
      <c r="G13" t="str">
        <f>IF(ISBLANK(Table1[[#This Row],[Name]]),PROPER(LEFT(SUBSTITUTE(Table1[[#This Row],[Email]],"."," "), SEARCH(" ",SUBSTITUTE(Table1[[#This Row],[Email]],"."," "))-1)),Table1[[#This Row],[Name]])</f>
        <v>Rakesh Kumar</v>
      </c>
      <c r="H13" t="str">
        <f>IF(ISBLANK(Table1[[#This Row],[Name]]),PROPER(LEFT(SUBSTITUTE(Table1[[#This Row],[Email]],"."," "), SEARCH(" ",SUBSTITUTE(Table1[[#This Row],[Email]],"."," "))-1)),Table1[[#This Row],[Name]])</f>
        <v>Rakesh Kumar</v>
      </c>
      <c r="I13" t="str">
        <f>IF(ISBLANK(Table1[[#This Row],[Name]]),PROPER(LEFT(SUBSTITUTE(Table1[[#This Row],[Email]],"."," "), SEARCH(" ",SUBSTITUTE(Table1[[#This Row],[Email]],"."," "))-1)),Table1[[#This Row],[Name]])</f>
        <v>Rakesh Kumar</v>
      </c>
      <c r="K13">
        <v>34</v>
      </c>
      <c r="L13" s="4">
        <f>IF(ISBLANK(Table1[[#This Row],[Age]]),$I$4,Table1[[#This Row],[Age]])</f>
        <v>34</v>
      </c>
      <c r="M13" t="s">
        <v>7</v>
      </c>
      <c r="N13" t="s">
        <v>131</v>
      </c>
      <c r="O13" t="str">
        <f>UPPER(Table1[[#This Row],[Department]])</f>
        <v>DATA SCIENCE</v>
      </c>
      <c r="P13" t="s">
        <v>34</v>
      </c>
      <c r="Q13" t="str">
        <f>IF(ISBLANK(Table1[[#This Row],[Email]]),"support@dataisgood.com",Table1[[#This Row],[Email]])</f>
        <v>rakesh.kumar@yahoo.com</v>
      </c>
      <c r="S13" s="4">
        <f>IF(AND(ISNUMBER(Table1[[#This Row],[Phone]]), LEN(Table1[[#This Row],[Phone]])=11, LEFT(Table1[[#This Row],[Phone]],1)="-"), "91" &amp; MID(Table1[[#This Row],[Phone]], 1, 11), Table1[[#This Row],[Phone]])</f>
        <v>0</v>
      </c>
      <c r="T13" t="s">
        <v>35</v>
      </c>
      <c r="U13" t="str">
        <f>IF(ISBLANK(Table1[[#This Row],[Address]]),"Address not Available",Table1[[#This Row],[Address]])</f>
        <v>345 5th St, Jaipur, Rajasthan, India</v>
      </c>
      <c r="V13">
        <v>33418</v>
      </c>
    </row>
    <row r="14" spans="5:22" x14ac:dyDescent="0.25">
      <c r="E14">
        <v>7</v>
      </c>
      <c r="F14" t="s">
        <v>36</v>
      </c>
      <c r="G14" t="str">
        <f>IF(ISBLANK(Table1[[#This Row],[Name]]),PROPER(LEFT(SUBSTITUTE(Table1[[#This Row],[Email]],"."," "), SEARCH(" ",SUBSTITUTE(Table1[[#This Row],[Email]],"."," "))-1)),Table1[[#This Row],[Name]])</f>
        <v>Divya Singh</v>
      </c>
      <c r="H14" t="str">
        <f>IF(ISBLANK(Table1[[#This Row],[Name]]),PROPER(LEFT(SUBSTITUTE(Table1[[#This Row],[Email]],"."," "), SEARCH(" ",SUBSTITUTE(Table1[[#This Row],[Email]],"."," "))-1)),Table1[[#This Row],[Name]])</f>
        <v>Divya Singh</v>
      </c>
      <c r="I14" t="str">
        <f>IF(ISBLANK(Table1[[#This Row],[Name]]),PROPER(LEFT(SUBSTITUTE(Table1[[#This Row],[Email]],"."," "), SEARCH(" ",SUBSTITUTE(Table1[[#This Row],[Email]],"."," "))-1)),Table1[[#This Row],[Name]])</f>
        <v>Divya Singh</v>
      </c>
      <c r="K14">
        <v>25</v>
      </c>
      <c r="L14" s="4">
        <f>IF(ISBLANK(Table1[[#This Row],[Age]]),$I$4,Table1[[#This Row],[Age]])</f>
        <v>25</v>
      </c>
      <c r="M14" t="s">
        <v>8</v>
      </c>
      <c r="N14" t="s">
        <v>139</v>
      </c>
      <c r="O14" t="str">
        <f>UPPER(Table1[[#This Row],[Department]])</f>
        <v>IT DEVELOPMENT</v>
      </c>
      <c r="Q14" t="str">
        <f>IF(ISBLANK(Table1[[#This Row],[Email]]),"support@dataisgood.com",Table1[[#This Row],[Email]])</f>
        <v>support@dataisgood.com</v>
      </c>
      <c r="R14" t="s">
        <v>117</v>
      </c>
      <c r="S14" s="4" t="str">
        <f>IF(AND(ISNUMBER(Table1[[#This Row],[Phone]]), LEN(Table1[[#This Row],[Phone]])=11, LEFT(Table1[[#This Row],[Phone]],1)="-"), "91" &amp; MID(Table1[[#This Row],[Phone]], 1, 11), Table1[[#This Row],[Phone]])</f>
        <v>91-9999999999</v>
      </c>
      <c r="T14" t="s">
        <v>37</v>
      </c>
      <c r="U14" t="str">
        <f>IF(ISBLANK(Table1[[#This Row],[Address]]),"Address not Available",Table1[[#This Row],[Address]])</f>
        <v>678 6th St, Chennai, Tamil Nadu, India</v>
      </c>
      <c r="V14">
        <v>45828</v>
      </c>
    </row>
    <row r="15" spans="5:22" x14ac:dyDescent="0.25">
      <c r="E15">
        <v>8</v>
      </c>
      <c r="F15" t="s">
        <v>38</v>
      </c>
      <c r="G15" t="str">
        <f>IF(ISBLANK(Table1[[#This Row],[Name]]),PROPER(LEFT(SUBSTITUTE(Table1[[#This Row],[Email]],"."," "), SEARCH(" ",SUBSTITUTE(Table1[[#This Row],[Email]],"."," "))-1)),Table1[[#This Row],[Name]])</f>
        <v>Aman Verma</v>
      </c>
      <c r="H15" t="str">
        <f>IF(ISBLANK(Table1[[#This Row],[Name]]),PROPER(LEFT(SUBSTITUTE(Table1[[#This Row],[Email]],"."," "), SEARCH(" ",SUBSTITUTE(Table1[[#This Row],[Email]],"."," "))-1)),Table1[[#This Row],[Name]])</f>
        <v>Aman Verma</v>
      </c>
      <c r="I15" t="str">
        <f>IF(ISBLANK(Table1[[#This Row],[Name]]),PROPER(LEFT(SUBSTITUTE(Table1[[#This Row],[Email]],"."," "), SEARCH(" ",SUBSTITUTE(Table1[[#This Row],[Email]],"."," "))-1)),Table1[[#This Row],[Name]])</f>
        <v>Aman Verma</v>
      </c>
      <c r="K15">
        <v>31</v>
      </c>
      <c r="L15" s="4">
        <f>IF(ISBLANK(Table1[[#This Row],[Age]]),$I$4,Table1[[#This Row],[Age]])</f>
        <v>31</v>
      </c>
      <c r="M15" t="s">
        <v>7</v>
      </c>
      <c r="N15" t="s">
        <v>120</v>
      </c>
      <c r="O15" t="str">
        <f>UPPER(Table1[[#This Row],[Department]])</f>
        <v>SALES</v>
      </c>
      <c r="P15" t="s">
        <v>39</v>
      </c>
      <c r="Q15" t="str">
        <f>IF(ISBLANK(Table1[[#This Row],[Email]]),"support@dataisgood.com",Table1[[#This Row],[Email]])</f>
        <v>aman.verma@gmail.com</v>
      </c>
      <c r="R15">
        <f>91-8888888888</f>
        <v>-8888888797</v>
      </c>
      <c r="S15" s="4" t="str">
        <f>IF(AND(ISNUMBER(Table1[[#This Row],[Phone]]), LEN(Table1[[#This Row],[Phone]])=11, LEFT(Table1[[#This Row],[Phone]],1)="-"), "91" &amp; MID(Table1[[#This Row],[Phone]], 1, 11), Table1[[#This Row],[Phone]])</f>
        <v>91-8888888797</v>
      </c>
      <c r="U15" t="str">
        <f>IF(ISBLANK(Table1[[#This Row],[Address]]),"Address not Available",Table1[[#This Row],[Address]])</f>
        <v>Address not Available</v>
      </c>
      <c r="V15">
        <v>45450</v>
      </c>
    </row>
    <row r="16" spans="5:22" x14ac:dyDescent="0.25">
      <c r="E16">
        <v>9</v>
      </c>
      <c r="F16" t="s">
        <v>40</v>
      </c>
      <c r="G16" t="str">
        <f>IF(ISBLANK(Table1[[#This Row],[Name]]),PROPER(LEFT(SUBSTITUTE(Table1[[#This Row],[Email]],"."," "), SEARCH(" ",SUBSTITUTE(Table1[[#This Row],[Email]],"."," "))-1)),Table1[[#This Row],[Name]])</f>
        <v>Neha Gupta</v>
      </c>
      <c r="H16" t="str">
        <f>IF(ISBLANK(Table1[[#This Row],[Name]]),PROPER(LEFT(SUBSTITUTE(Table1[[#This Row],[Email]],"."," "), SEARCH(" ",SUBSTITUTE(Table1[[#This Row],[Email]],"."," "))-1)),Table1[[#This Row],[Name]])</f>
        <v>Neha Gupta</v>
      </c>
      <c r="I16" t="str">
        <f>IF(ISBLANK(Table1[[#This Row],[Name]]),PROPER(LEFT(SUBSTITUTE(Table1[[#This Row],[Email]],"."," "), SEARCH(" ",SUBSTITUTE(Table1[[#This Row],[Email]],"."," "))-1)),Table1[[#This Row],[Name]])</f>
        <v>Neha Gupta</v>
      </c>
      <c r="K16">
        <v>27</v>
      </c>
      <c r="L16" s="4">
        <f>IF(ISBLANK(Table1[[#This Row],[Age]]),$I$4,Table1[[#This Row],[Age]])</f>
        <v>27</v>
      </c>
      <c r="M16" t="s">
        <v>8</v>
      </c>
      <c r="N16" t="s">
        <v>127</v>
      </c>
      <c r="O16" t="str">
        <f>UPPER(Table1[[#This Row],[Department]])</f>
        <v>SALES</v>
      </c>
      <c r="P16" t="s">
        <v>41</v>
      </c>
      <c r="Q16" t="str">
        <f>IF(ISBLANK(Table1[[#This Row],[Email]]),"support@dataisgood.com",Table1[[#This Row],[Email]])</f>
        <v>neha.gupta@hotmail.com</v>
      </c>
      <c r="R16">
        <f>91-7777777777</f>
        <v>-7777777686</v>
      </c>
      <c r="S16" s="4" t="str">
        <f>IF(AND(ISNUMBER(Table1[[#This Row],[Phone]]), LEN(Table1[[#This Row],[Phone]])=11, LEFT(Table1[[#This Row],[Phone]],1)="-"), "91" &amp; MID(Table1[[#This Row],[Phone]], 1, 11), Table1[[#This Row],[Phone]])</f>
        <v>91-7777777686</v>
      </c>
      <c r="T16" t="s">
        <v>42</v>
      </c>
      <c r="U16" t="str">
        <f>IF(ISBLANK(Table1[[#This Row],[Address]]),"Address not Available",Table1[[#This Row],[Address]])</f>
        <v>901 7th St, Hyderabad, Telangana, India</v>
      </c>
      <c r="V16">
        <v>49938</v>
      </c>
    </row>
    <row r="17" spans="5:22" x14ac:dyDescent="0.25">
      <c r="E17">
        <v>10</v>
      </c>
      <c r="G17" t="str">
        <f>IF(ISBLANK(Table1[[#This Row],[Name]]),PROPER(LEFT(SUBSTITUTE(Table1[[#This Row],[Email]],"."," "), SEARCH(" ",SUBSTITUTE(Table1[[#This Row],[Email]],"."," "))-1)),Table1[[#This Row],[Name]])</f>
        <v>Naveen</v>
      </c>
      <c r="H17" t="str">
        <f>IF(ISBLANK(Table1[[#This Row],[Name]]),PROPER(LEFT(SUBSTITUTE(Table1[[#This Row],[Email]],"."," "), SEARCH(" ",SUBSTITUTE(Table1[[#This Row],[Email]],"."," "))-1)),Table1[[#This Row],[Name]])</f>
        <v>Naveen</v>
      </c>
      <c r="I17" t="str">
        <f>IF(ISBLANK(Table1[[#This Row],[Name]]),PROPER(LEFT(SUBSTITUTE(Table1[[#This Row],[Email]],"."," "), SEARCH(" ",SUBSTITUTE(Table1[[#This Row],[Email]],"."," "))-1)),Table1[[#This Row],[Name]])</f>
        <v>Naveen</v>
      </c>
      <c r="K17">
        <v>35</v>
      </c>
      <c r="L17" s="4">
        <f>IF(ISBLANK(Table1[[#This Row],[Age]]),$I$4,Table1[[#This Row],[Age]])</f>
        <v>35</v>
      </c>
      <c r="M17" t="s">
        <v>7</v>
      </c>
      <c r="N17" t="s">
        <v>125</v>
      </c>
      <c r="O17" t="str">
        <f>UPPER(Table1[[#This Row],[Department]])</f>
        <v>OPERATIONS</v>
      </c>
      <c r="P17" t="s">
        <v>43</v>
      </c>
      <c r="Q17" t="str">
        <f>IF(ISBLANK(Table1[[#This Row],[Email]]),"support@dataisgood.com",Table1[[#This Row],[Email]])</f>
        <v>naveen.sharma@gmail.com</v>
      </c>
      <c r="S17" s="4">
        <f>IF(AND(ISNUMBER(Table1[[#This Row],[Phone]]), LEN(Table1[[#This Row],[Phone]])=11, LEFT(Table1[[#This Row],[Phone]],1)="-"), "91" &amp; MID(Table1[[#This Row],[Phone]], 1, 11), Table1[[#This Row],[Phone]])</f>
        <v>0</v>
      </c>
      <c r="T17" t="s">
        <v>44</v>
      </c>
      <c r="U17" t="str">
        <f>IF(ISBLANK(Table1[[#This Row],[Address]]),"Address not Available",Table1[[#This Row],[Address]])</f>
        <v>234 8th St, Pune, Maharashtra, India</v>
      </c>
      <c r="V17">
        <v>9818</v>
      </c>
    </row>
    <row r="18" spans="5:22" x14ac:dyDescent="0.25">
      <c r="E18">
        <v>11</v>
      </c>
      <c r="F18" t="s">
        <v>45</v>
      </c>
      <c r="G18" t="str">
        <f>IF(ISBLANK(Table1[[#This Row],[Name]]),PROPER(LEFT(SUBSTITUTE(Table1[[#This Row],[Email]],"."," "), SEARCH(" ",SUBSTITUTE(Table1[[#This Row],[Email]],"."," "))-1)),Table1[[#This Row],[Name]])</f>
        <v>Vinita Kapoor</v>
      </c>
      <c r="H18" t="str">
        <f>IF(ISBLANK(Table1[[#This Row],[Name]]),PROPER(LEFT(SUBSTITUTE(Table1[[#This Row],[Email]],"."," "), SEARCH(" ",SUBSTITUTE(Table1[[#This Row],[Email]],"."," "))-1)),Table1[[#This Row],[Name]])</f>
        <v>Vinita Kapoor</v>
      </c>
      <c r="I18" t="str">
        <f>IF(ISBLANK(Table1[[#This Row],[Name]]),PROPER(LEFT(SUBSTITUTE(Table1[[#This Row],[Email]],"."," "), SEARCH(" ",SUBSTITUTE(Table1[[#This Row],[Email]],"."," "))-1)),Table1[[#This Row],[Name]])</f>
        <v>Vinita Kapoor</v>
      </c>
      <c r="L18" s="4">
        <f>IF(ISBLANK(Table1[[#This Row],[Age]]),$I$4,Table1[[#This Row],[Age]])</f>
        <v>29.685714285714287</v>
      </c>
      <c r="M18" t="s">
        <v>8</v>
      </c>
      <c r="N18" t="s">
        <v>126</v>
      </c>
      <c r="O18" t="str">
        <f>UPPER(Table1[[#This Row],[Department]])</f>
        <v>IT DEPARTMENT</v>
      </c>
      <c r="P18" t="s">
        <v>46</v>
      </c>
      <c r="Q18" t="str">
        <f>IF(ISBLANK(Table1[[#This Row],[Email]]),"support@dataisgood.com",Table1[[#This Row],[Email]])</f>
        <v>vinita.kapoor@yahoo.com</v>
      </c>
      <c r="R18">
        <f>91-6666666666</f>
        <v>-6666666575</v>
      </c>
      <c r="S18" s="4" t="str">
        <f>IF(AND(ISNUMBER(Table1[[#This Row],[Phone]]), LEN(Table1[[#This Row],[Phone]])=11, LEFT(Table1[[#This Row],[Phone]],1)="-"), "91" &amp; MID(Table1[[#This Row],[Phone]], 1, 11), Table1[[#This Row],[Phone]])</f>
        <v>91-6666666575</v>
      </c>
      <c r="T18" t="s">
        <v>47</v>
      </c>
      <c r="U18" t="str">
        <f>IF(ISBLANK(Table1[[#This Row],[Address]]),"Address not Available",Table1[[#This Row],[Address]])</f>
        <v>567 9th St, Ahmedabad, Gujarat, India</v>
      </c>
      <c r="V18">
        <v>41836</v>
      </c>
    </row>
    <row r="19" spans="5:22" x14ac:dyDescent="0.25">
      <c r="E19">
        <v>12</v>
      </c>
      <c r="F19" t="s">
        <v>48</v>
      </c>
      <c r="G19" t="str">
        <f>IF(ISBLANK(Table1[[#This Row],[Name]]),PROPER(LEFT(SUBSTITUTE(Table1[[#This Row],[Email]],"."," "), SEARCH(" ",SUBSTITUTE(Table1[[#This Row],[Email]],"."," "))-1)),Table1[[#This Row],[Name]])</f>
        <v>Rajeev Kumar</v>
      </c>
      <c r="H19" t="str">
        <f>IF(ISBLANK(Table1[[#This Row],[Name]]),PROPER(LEFT(SUBSTITUTE(Table1[[#This Row],[Email]],"."," "), SEARCH(" ",SUBSTITUTE(Table1[[#This Row],[Email]],"."," "))-1)),Table1[[#This Row],[Name]])</f>
        <v>Rajeev Kumar</v>
      </c>
      <c r="I19" t="str">
        <f>IF(ISBLANK(Table1[[#This Row],[Name]]),PROPER(LEFT(SUBSTITUTE(Table1[[#This Row],[Email]],"."," "), SEARCH(" ",SUBSTITUTE(Table1[[#This Row],[Email]],"."," "))-1)),Table1[[#This Row],[Name]])</f>
        <v>Rajeev Kumar</v>
      </c>
      <c r="K19">
        <v>29</v>
      </c>
      <c r="L19" s="4">
        <f>IF(ISBLANK(Table1[[#This Row],[Age]]),$I$4,Table1[[#This Row],[Age]])</f>
        <v>29</v>
      </c>
      <c r="M19" t="s">
        <v>7</v>
      </c>
      <c r="N19" t="s">
        <v>126</v>
      </c>
      <c r="O19" t="str">
        <f>UPPER(Table1[[#This Row],[Department]])</f>
        <v>IT DEPARTMENT</v>
      </c>
      <c r="P19" t="s">
        <v>49</v>
      </c>
      <c r="Q19" t="str">
        <f>IF(ISBLANK(Table1[[#This Row],[Email]]),"support@dataisgood.com",Table1[[#This Row],[Email]])</f>
        <v>rajeev.kumar@hotmail.com</v>
      </c>
      <c r="R19">
        <f>91-5555555555</f>
        <v>-5555555464</v>
      </c>
      <c r="S19" s="4" t="str">
        <f>IF(AND(ISNUMBER(Table1[[#This Row],[Phone]]), LEN(Table1[[#This Row],[Phone]])=11, LEFT(Table1[[#This Row],[Phone]],1)="-"), "91" &amp; MID(Table1[[#This Row],[Phone]], 1, 11), Table1[[#This Row],[Phone]])</f>
        <v>91-5555555464</v>
      </c>
      <c r="T19" t="s">
        <v>50</v>
      </c>
      <c r="U19" t="str">
        <f>IF(ISBLANK(Table1[[#This Row],[Address]]),"Address not Available",Table1[[#This Row],[Address]])</f>
        <v>789 10th St, Bangalore, Karnataka, India</v>
      </c>
      <c r="V19">
        <v>11901</v>
      </c>
    </row>
    <row r="20" spans="5:22" x14ac:dyDescent="0.25">
      <c r="E20">
        <v>24</v>
      </c>
      <c r="F20" t="s">
        <v>9</v>
      </c>
      <c r="G20" t="str">
        <f>IF(ISBLANK(Table1[[#This Row],[Name]]),PROPER(LEFT(SUBSTITUTE(Table1[[#This Row],[Email]],"."," "), SEARCH(" ",SUBSTITUTE(Table1[[#This Row],[Email]],"."," "))-1)),Table1[[#This Row],[Name]])</f>
        <v>Sanjay Gupta</v>
      </c>
      <c r="H20" t="str">
        <f>IF(ISBLANK(Table1[[#This Row],[Name]]),PROPER(LEFT(SUBSTITUTE(Table1[[#This Row],[Email]],"."," "), SEARCH(" ",SUBSTITUTE(Table1[[#This Row],[Email]],"."," "))-1)),Table1[[#This Row],[Name]])</f>
        <v>Sanjay Gupta</v>
      </c>
      <c r="I20" t="str">
        <f>IF(ISBLANK(Table1[[#This Row],[Name]]),PROPER(LEFT(SUBSTITUTE(Table1[[#This Row],[Email]],"."," "), SEARCH(" ",SUBSTITUTE(Table1[[#This Row],[Email]],"."," "))-1)),Table1[[#This Row],[Name]])</f>
        <v>Sanjay Gupta</v>
      </c>
      <c r="K20">
        <v>29</v>
      </c>
      <c r="L20" s="4">
        <f>IF(ISBLANK(Table1[[#This Row],[Age]]),$I$4,Table1[[#This Row],[Age]])</f>
        <v>29</v>
      </c>
      <c r="M20" t="s">
        <v>7</v>
      </c>
      <c r="N20" t="s">
        <v>125</v>
      </c>
      <c r="O20" t="str">
        <f>UPPER(Table1[[#This Row],[Department]])</f>
        <v>OPERATIONS</v>
      </c>
      <c r="P20" t="s">
        <v>10</v>
      </c>
      <c r="Q20" t="str">
        <f>IF(ISBLANK(Table1[[#This Row],[Email]]),"support@dataisgood.com",Table1[[#This Row],[Email]])</f>
        <v>sanjay.gupta@gmail.com</v>
      </c>
      <c r="R20" t="s">
        <v>132</v>
      </c>
      <c r="S20" s="4" t="str">
        <f>IF(AND(ISNUMBER(Table1[[#This Row],[Phone]]), LEN(Table1[[#This Row],[Phone]])=11, LEFT(Table1[[#This Row],[Phone]],1)="-"), "91" &amp; MID(Table1[[#This Row],[Phone]], 1, 11), Table1[[#This Row],[Phone]])</f>
        <v>91-6666666666</v>
      </c>
      <c r="U20" t="str">
        <f>IF(ISBLANK(Table1[[#This Row],[Address]]),"Address not Available",Table1[[#This Row],[Address]])</f>
        <v>Address not Available</v>
      </c>
      <c r="V20">
        <v>15853</v>
      </c>
    </row>
    <row r="21" spans="5:22" x14ac:dyDescent="0.25">
      <c r="E21">
        <v>25</v>
      </c>
      <c r="F21" t="s">
        <v>11</v>
      </c>
      <c r="G21" t="str">
        <f>IF(ISBLANK(Table1[[#This Row],[Name]]),PROPER(LEFT(SUBSTITUTE(Table1[[#This Row],[Email]],"."," "), SEARCH(" ",SUBSTITUTE(Table1[[#This Row],[Email]],"."," "))-1)),Table1[[#This Row],[Name]])</f>
        <v>Anjali Sharma</v>
      </c>
      <c r="H21" t="str">
        <f>IF(ISBLANK(Table1[[#This Row],[Name]]),PROPER(LEFT(SUBSTITUTE(Table1[[#This Row],[Email]],"."," "), SEARCH(" ",SUBSTITUTE(Table1[[#This Row],[Email]],"."," "))-1)),Table1[[#This Row],[Name]])</f>
        <v>Anjali Sharma</v>
      </c>
      <c r="I21" t="str">
        <f>IF(ISBLANK(Table1[[#This Row],[Name]]),PROPER(LEFT(SUBSTITUTE(Table1[[#This Row],[Email]],"."," "), SEARCH(" ",SUBSTITUTE(Table1[[#This Row],[Email]],"."," "))-1)),Table1[[#This Row],[Name]])</f>
        <v>Anjali Sharma</v>
      </c>
      <c r="L21" s="4">
        <f>IF(ISBLANK(Table1[[#This Row],[Age]]),$I$4,Table1[[#This Row],[Age]])</f>
        <v>29.685714285714287</v>
      </c>
      <c r="M21" t="s">
        <v>8</v>
      </c>
      <c r="N21" t="s">
        <v>126</v>
      </c>
      <c r="O21" t="str">
        <f>UPPER(Table1[[#This Row],[Department]])</f>
        <v>IT DEPARTMENT</v>
      </c>
      <c r="P21" t="s">
        <v>12</v>
      </c>
      <c r="Q21" t="str">
        <f>IF(ISBLANK(Table1[[#This Row],[Email]]),"support@dataisgood.com",Table1[[#This Row],[Email]])</f>
        <v>anjali.sharma@yahoo.com</v>
      </c>
      <c r="R21">
        <f>91-5555555555</f>
        <v>-5555555464</v>
      </c>
      <c r="S21" s="4" t="str">
        <f>IF(AND(ISNUMBER(Table1[[#This Row],[Phone]]), LEN(Table1[[#This Row],[Phone]])=11, LEFT(Table1[[#This Row],[Phone]],1)="-"), "91" &amp; MID(Table1[[#This Row],[Phone]], 1, 11), Table1[[#This Row],[Phone]])</f>
        <v>91-5555555464</v>
      </c>
      <c r="T21" t="s">
        <v>13</v>
      </c>
      <c r="U21" t="str">
        <f>IF(ISBLANK(Table1[[#This Row],[Address]]),"Address not Available",Table1[[#This Row],[Address]])</f>
        <v>567 19th St, Bangalore, Karnataka, India</v>
      </c>
      <c r="V21">
        <v>6926</v>
      </c>
    </row>
    <row r="22" spans="5:22" x14ac:dyDescent="0.25">
      <c r="E22">
        <v>26</v>
      </c>
      <c r="F22" t="s">
        <v>14</v>
      </c>
      <c r="G22" t="str">
        <f>IF(ISBLANK(Table1[[#This Row],[Name]]),PROPER(LEFT(SUBSTITUTE(Table1[[#This Row],[Email]],"."," "), SEARCH(" ",SUBSTITUTE(Table1[[#This Row],[Email]],"."," "))-1)),Table1[[#This Row],[Name]])</f>
        <v>Akash Patel</v>
      </c>
      <c r="H22" t="str">
        <f>IF(ISBLANK(Table1[[#This Row],[Name]]),PROPER(LEFT(SUBSTITUTE(Table1[[#This Row],[Email]],"."," "), SEARCH(" ",SUBSTITUTE(Table1[[#This Row],[Email]],"."," "))-1)),Table1[[#This Row],[Name]])</f>
        <v>Akash Patel</v>
      </c>
      <c r="I22" t="str">
        <f>IF(ISBLANK(Table1[[#This Row],[Name]]),PROPER(LEFT(SUBSTITUTE(Table1[[#This Row],[Email]],"."," "), SEARCH(" ",SUBSTITUTE(Table1[[#This Row],[Email]],"."," "))-1)),Table1[[#This Row],[Name]])</f>
        <v>Akash Patel</v>
      </c>
      <c r="K22">
        <v>31</v>
      </c>
      <c r="L22" s="4">
        <f>IF(ISBLANK(Table1[[#This Row],[Age]]),$I$4,Table1[[#This Row],[Age]])</f>
        <v>31</v>
      </c>
      <c r="M22" t="s">
        <v>7</v>
      </c>
      <c r="N22" t="s">
        <v>128</v>
      </c>
      <c r="O22" t="str">
        <f>UPPER(Table1[[#This Row],[Department]])</f>
        <v>FINANCE/ACCOUNTS</v>
      </c>
      <c r="P22" t="s">
        <v>15</v>
      </c>
      <c r="Q22" t="str">
        <f>IF(ISBLANK(Table1[[#This Row],[Email]]),"support@dataisgood.com",Table1[[#This Row],[Email]])</f>
        <v>akash.patel@hotmail.com</v>
      </c>
      <c r="S22" s="4">
        <f>IF(AND(ISNUMBER(Table1[[#This Row],[Phone]]), LEN(Table1[[#This Row],[Phone]])=11, LEFT(Table1[[#This Row],[Phone]],1)="-"), "91" &amp; MID(Table1[[#This Row],[Phone]], 1, 11), Table1[[#This Row],[Phone]])</f>
        <v>0</v>
      </c>
      <c r="T22" t="s">
        <v>16</v>
      </c>
      <c r="U22" t="str">
        <f>IF(ISBLANK(Table1[[#This Row],[Address]]),"Address not Available",Table1[[#This Row],[Address]])</f>
        <v>789 20th St, Mumbai, Maharashtra, India</v>
      </c>
      <c r="V22">
        <v>45678</v>
      </c>
    </row>
    <row r="23" spans="5:22" x14ac:dyDescent="0.25">
      <c r="E23">
        <v>27</v>
      </c>
      <c r="F23" t="s">
        <v>17</v>
      </c>
      <c r="G23" t="str">
        <f>IF(ISBLANK(Table1[[#This Row],[Name]]),PROPER(LEFT(SUBSTITUTE(Table1[[#This Row],[Email]],"."," "), SEARCH(" ",SUBSTITUTE(Table1[[#This Row],[Email]],"."," "))-1)),Table1[[#This Row],[Name]])</f>
        <v>Preeti Singh</v>
      </c>
      <c r="H23" t="str">
        <f>IF(ISBLANK(Table1[[#This Row],[Name]]),PROPER(LEFT(SUBSTITUTE(Table1[[#This Row],[Email]],"."," "), SEARCH(" ",SUBSTITUTE(Table1[[#This Row],[Email]],"."," "))-1)),Table1[[#This Row],[Name]])</f>
        <v>Preeti Singh</v>
      </c>
      <c r="I23" t="str">
        <f>IF(ISBLANK(Table1[[#This Row],[Name]]),PROPER(LEFT(SUBSTITUTE(Table1[[#This Row],[Email]],"."," "), SEARCH(" ",SUBSTITUTE(Table1[[#This Row],[Email]],"."," "))-1)),Table1[[#This Row],[Name]])</f>
        <v>Preeti Singh</v>
      </c>
      <c r="K23">
        <v>28</v>
      </c>
      <c r="L23" s="4">
        <f>IF(ISBLANK(Table1[[#This Row],[Age]]),$I$4,Table1[[#This Row],[Age]])</f>
        <v>28</v>
      </c>
      <c r="M23" t="s">
        <v>8</v>
      </c>
      <c r="N23" t="s">
        <v>140</v>
      </c>
      <c r="O23" t="str">
        <f>UPPER(Table1[[#This Row],[Department]])</f>
        <v>MANAGEMENT</v>
      </c>
      <c r="P23" t="s">
        <v>18</v>
      </c>
      <c r="Q23" t="str">
        <f>IF(ISBLANK(Table1[[#This Row],[Email]]),"support@dataisgood.com",Table1[[#This Row],[Email]])</f>
        <v>preeti.singh@gmail.com</v>
      </c>
      <c r="R23">
        <f>91-7777777777</f>
        <v>-7777777686</v>
      </c>
      <c r="S23" s="4" t="str">
        <f>IF(AND(ISNUMBER(Table1[[#This Row],[Phone]]), LEN(Table1[[#This Row],[Phone]])=11, LEFT(Table1[[#This Row],[Phone]],1)="-"), "91" &amp; MID(Table1[[#This Row],[Phone]], 1, 11), Table1[[#This Row],[Phone]])</f>
        <v>91-7777777686</v>
      </c>
      <c r="T23" t="s">
        <v>19</v>
      </c>
      <c r="U23" t="str">
        <f>IF(ISBLANK(Table1[[#This Row],[Address]]),"Address not Available",Table1[[#This Row],[Address]])</f>
        <v>321 21st St, Kolkata, West Bengal, India</v>
      </c>
      <c r="V23">
        <v>8022</v>
      </c>
    </row>
    <row r="24" spans="5:22" x14ac:dyDescent="0.25">
      <c r="E24">
        <v>28</v>
      </c>
      <c r="F24" t="s">
        <v>51</v>
      </c>
      <c r="G24" t="str">
        <f>IF(ISBLANK(Table1[[#This Row],[Name]]),PROPER(LEFT(SUBSTITUTE(Table1[[#This Row],[Email]],"."," "), SEARCH(" ",SUBSTITUTE(Table1[[#This Row],[Email]],"."," "))-1)),Table1[[#This Row],[Name]])</f>
        <v>Ravi Kumar</v>
      </c>
      <c r="H24" t="str">
        <f>IF(ISBLANK(Table1[[#This Row],[Name]]),PROPER(LEFT(SUBSTITUTE(Table1[[#This Row],[Email]],"."," "), SEARCH(" ",SUBSTITUTE(Table1[[#This Row],[Email]],"."," "))-1)),Table1[[#This Row],[Name]])</f>
        <v>Ravi Kumar</v>
      </c>
      <c r="I24" t="str">
        <f>IF(ISBLANK(Table1[[#This Row],[Name]]),PROPER(LEFT(SUBSTITUTE(Table1[[#This Row],[Email]],"."," "), SEARCH(" ",SUBSTITUTE(Table1[[#This Row],[Email]],"."," "))-1)),Table1[[#This Row],[Name]])</f>
        <v>Ravi Kumar</v>
      </c>
      <c r="K24">
        <v>34</v>
      </c>
      <c r="L24" s="4">
        <f>IF(ISBLANK(Table1[[#This Row],[Age]]),$I$4,Table1[[#This Row],[Age]])</f>
        <v>34</v>
      </c>
      <c r="M24" t="s">
        <v>7</v>
      </c>
      <c r="N24" t="s">
        <v>130</v>
      </c>
      <c r="O24" t="str">
        <f>UPPER(Table1[[#This Row],[Department]])</f>
        <v>DATA SCIENCE</v>
      </c>
      <c r="P24" t="s">
        <v>52</v>
      </c>
      <c r="Q24" t="str">
        <f>IF(ISBLANK(Table1[[#This Row],[Email]]),"support@dataisgood.com",Table1[[#This Row],[Email]])</f>
        <v>ravi.kumar@gmail.com</v>
      </c>
      <c r="R24">
        <f>91-8888888888</f>
        <v>-8888888797</v>
      </c>
      <c r="S24" s="4" t="str">
        <f>IF(AND(ISNUMBER(Table1[[#This Row],[Phone]]), LEN(Table1[[#This Row],[Phone]])=11, LEFT(Table1[[#This Row],[Phone]],1)="-"), "91" &amp; MID(Table1[[#This Row],[Phone]], 1, 11), Table1[[#This Row],[Phone]])</f>
        <v>91-8888888797</v>
      </c>
      <c r="T24" t="s">
        <v>53</v>
      </c>
      <c r="U24" t="str">
        <f>IF(ISBLANK(Table1[[#This Row],[Address]]),"Address not Available",Table1[[#This Row],[Address]])</f>
        <v>901 22nd St, Patna, Bihar, India</v>
      </c>
      <c r="V24">
        <v>3484</v>
      </c>
    </row>
    <row r="25" spans="5:22" x14ac:dyDescent="0.25">
      <c r="E25">
        <v>29</v>
      </c>
      <c r="F25" t="s">
        <v>54</v>
      </c>
      <c r="G25" t="str">
        <f>IF(ISBLANK(Table1[[#This Row],[Name]]),PROPER(LEFT(SUBSTITUTE(Table1[[#This Row],[Email]],"."," "), SEARCH(" ",SUBSTITUTE(Table1[[#This Row],[Email]],"."," "))-1)),Table1[[#This Row],[Name]])</f>
        <v>Swati Mishra</v>
      </c>
      <c r="H25" t="str">
        <f>IF(ISBLANK(Table1[[#This Row],[Name]]),PROPER(LEFT(SUBSTITUTE(Table1[[#This Row],[Email]],"."," "), SEARCH(" ",SUBSTITUTE(Table1[[#This Row],[Email]],"."," "))-1)),Table1[[#This Row],[Name]])</f>
        <v>Swati Mishra</v>
      </c>
      <c r="I25" t="str">
        <f>IF(ISBLANK(Table1[[#This Row],[Name]]),PROPER(LEFT(SUBSTITUTE(Table1[[#This Row],[Email]],"."," "), SEARCH(" ",SUBSTITUTE(Table1[[#This Row],[Email]],"."," "))-1)),Table1[[#This Row],[Name]])</f>
        <v>Swati Mishra</v>
      </c>
      <c r="K25">
        <v>26</v>
      </c>
      <c r="L25" s="4">
        <f>IF(ISBLANK(Table1[[#This Row],[Age]]),$I$4,Table1[[#This Row],[Age]])</f>
        <v>26</v>
      </c>
      <c r="M25" t="s">
        <v>8</v>
      </c>
      <c r="N25" t="s">
        <v>139</v>
      </c>
      <c r="O25" t="str">
        <f>UPPER(Table1[[#This Row],[Department]])</f>
        <v>IT DEVELOPMENT</v>
      </c>
      <c r="P25" t="s">
        <v>55</v>
      </c>
      <c r="Q25" t="str">
        <f>IF(ISBLANK(Table1[[#This Row],[Email]]),"support@dataisgood.com",Table1[[#This Row],[Email]])</f>
        <v>swati.mishra@yahoo.com</v>
      </c>
      <c r="R25">
        <f>91-7777777777</f>
        <v>-7777777686</v>
      </c>
      <c r="S25" s="4" t="str">
        <f>IF(AND(ISNUMBER(Table1[[#This Row],[Phone]]), LEN(Table1[[#This Row],[Phone]])=11, LEFT(Table1[[#This Row],[Phone]],1)="-"), "91" &amp; MID(Table1[[#This Row],[Phone]], 1, 11), Table1[[#This Row],[Phone]])</f>
        <v>91-7777777686</v>
      </c>
      <c r="T25" t="s">
        <v>56</v>
      </c>
      <c r="U25" t="str">
        <f>IF(ISBLANK(Table1[[#This Row],[Address]]),"Address not Available",Table1[[#This Row],[Address]])</f>
        <v>234 23rd St, Bhopal, Madhya Pradesh, India</v>
      </c>
      <c r="V25">
        <v>11342</v>
      </c>
    </row>
    <row r="26" spans="5:22" x14ac:dyDescent="0.25">
      <c r="E26">
        <v>30</v>
      </c>
      <c r="G26" t="str">
        <f>IF(ISBLANK(Table1[[#This Row],[Name]]),PROPER(LEFT(SUBSTITUTE(Table1[[#This Row],[Email]],"."," "), SEARCH(" ",SUBSTITUTE(Table1[[#This Row],[Email]],"."," "))-1)),Table1[[#This Row],[Name]])</f>
        <v>Ankit</v>
      </c>
      <c r="H26" t="str">
        <f>IF(ISBLANK(Table1[[#This Row],[Name]]),PROPER(LEFT(SUBSTITUTE(Table1[[#This Row],[Email]],"."," "), SEARCH(" ",SUBSTITUTE(Table1[[#This Row],[Email]],"."," "))-1)),Table1[[#This Row],[Name]])</f>
        <v>Ankit</v>
      </c>
      <c r="I26" t="str">
        <f>IF(ISBLANK(Table1[[#This Row],[Name]]),PROPER(LEFT(SUBSTITUTE(Table1[[#This Row],[Email]],"."," "), SEARCH(" ",SUBSTITUTE(Table1[[#This Row],[Email]],"."," "))-1)),Table1[[#This Row],[Name]])</f>
        <v>Ankit</v>
      </c>
      <c r="K26">
        <v>29</v>
      </c>
      <c r="L26" s="4">
        <f>IF(ISBLANK(Table1[[#This Row],[Age]]),$I$4,Table1[[#This Row],[Age]])</f>
        <v>29</v>
      </c>
      <c r="M26" t="s">
        <v>7</v>
      </c>
      <c r="N26" t="s">
        <v>120</v>
      </c>
      <c r="O26" t="str">
        <f>UPPER(Table1[[#This Row],[Department]])</f>
        <v>SALES</v>
      </c>
      <c r="P26" t="s">
        <v>57</v>
      </c>
      <c r="Q26" t="str">
        <f>IF(ISBLANK(Table1[[#This Row],[Email]]),"support@dataisgood.com",Table1[[#This Row],[Email]])</f>
        <v>ankit.singh@hotmail.com</v>
      </c>
      <c r="S26" s="4">
        <f>IF(AND(ISNUMBER(Table1[[#This Row],[Phone]]), LEN(Table1[[#This Row],[Phone]])=11, LEFT(Table1[[#This Row],[Phone]],1)="-"), "91" &amp; MID(Table1[[#This Row],[Phone]], 1, 11), Table1[[#This Row],[Phone]])</f>
        <v>0</v>
      </c>
      <c r="T26" t="s">
        <v>58</v>
      </c>
      <c r="U26" t="str">
        <f>IF(ISBLANK(Table1[[#This Row],[Address]]),"Address not Available",Table1[[#This Row],[Address]])</f>
        <v>567 24th St, Lucknow, Uttar Pradesh, India</v>
      </c>
      <c r="V26">
        <v>40940</v>
      </c>
    </row>
    <row r="27" spans="5:22" x14ac:dyDescent="0.25">
      <c r="E27">
        <v>31</v>
      </c>
      <c r="F27" t="s">
        <v>40</v>
      </c>
      <c r="G27" t="str">
        <f>IF(ISBLANK(Table1[[#This Row],[Name]]),PROPER(LEFT(SUBSTITUTE(Table1[[#This Row],[Email]],"."," "), SEARCH(" ",SUBSTITUTE(Table1[[#This Row],[Email]],"."," "))-1)),Table1[[#This Row],[Name]])</f>
        <v>Neha Gupta</v>
      </c>
      <c r="H27" t="str">
        <f>IF(ISBLANK(Table1[[#This Row],[Name]]),PROPER(LEFT(SUBSTITUTE(Table1[[#This Row],[Email]],"."," "), SEARCH(" ",SUBSTITUTE(Table1[[#This Row],[Email]],"."," "))-1)),Table1[[#This Row],[Name]])</f>
        <v>Neha Gupta</v>
      </c>
      <c r="I27" t="str">
        <f>IF(ISBLANK(Table1[[#This Row],[Name]]),PROPER(LEFT(SUBSTITUTE(Table1[[#This Row],[Email]],"."," "), SEARCH(" ",SUBSTITUTE(Table1[[#This Row],[Email]],"."," "))-1)),Table1[[#This Row],[Name]])</f>
        <v>Neha Gupta</v>
      </c>
      <c r="K27">
        <v>27</v>
      </c>
      <c r="L27" s="4">
        <f>IF(ISBLANK(Table1[[#This Row],[Age]]),$I$4,Table1[[#This Row],[Age]])</f>
        <v>27</v>
      </c>
      <c r="M27" t="s">
        <v>8</v>
      </c>
      <c r="N27" t="s">
        <v>127</v>
      </c>
      <c r="O27" t="str">
        <f>UPPER(Table1[[#This Row],[Department]])</f>
        <v>SALES</v>
      </c>
      <c r="P27" t="s">
        <v>59</v>
      </c>
      <c r="Q27" t="str">
        <f>IF(ISBLANK(Table1[[#This Row],[Email]]),"support@dataisgood.com",Table1[[#This Row],[Email]])</f>
        <v>neha.gupta@gmail.com</v>
      </c>
      <c r="R27">
        <f>91-5555555555</f>
        <v>-5555555464</v>
      </c>
      <c r="S27" s="4" t="str">
        <f>IF(AND(ISNUMBER(Table1[[#This Row],[Phone]]), LEN(Table1[[#This Row],[Phone]])=11, LEFT(Table1[[#This Row],[Phone]],1)="-"), "91" &amp; MID(Table1[[#This Row],[Phone]], 1, 11), Table1[[#This Row],[Phone]])</f>
        <v>91-5555555464</v>
      </c>
      <c r="U27" t="str">
        <f>IF(ISBLANK(Table1[[#This Row],[Address]]),"Address not Available",Table1[[#This Row],[Address]])</f>
        <v>Address not Available</v>
      </c>
      <c r="V27">
        <v>41841</v>
      </c>
    </row>
    <row r="28" spans="5:22" x14ac:dyDescent="0.25">
      <c r="E28">
        <v>32</v>
      </c>
      <c r="F28" t="s">
        <v>60</v>
      </c>
      <c r="G28" t="str">
        <f>IF(ISBLANK(Table1[[#This Row],[Name]]),PROPER(LEFT(SUBSTITUTE(Table1[[#This Row],[Email]],"."," "), SEARCH(" ",SUBSTITUTE(Table1[[#This Row],[Email]],"."," "))-1)),Table1[[#This Row],[Name]])</f>
        <v>Rajeev Sharma</v>
      </c>
      <c r="H28" t="str">
        <f>IF(ISBLANK(Table1[[#This Row],[Name]]),PROPER(LEFT(SUBSTITUTE(Table1[[#This Row],[Email]],"."," "), SEARCH(" ",SUBSTITUTE(Table1[[#This Row],[Email]],"."," "))-1)),Table1[[#This Row],[Name]])</f>
        <v>Rajeev Sharma</v>
      </c>
      <c r="I28" t="str">
        <f>IF(ISBLANK(Table1[[#This Row],[Name]]),PROPER(LEFT(SUBSTITUTE(Table1[[#This Row],[Email]],"."," "), SEARCH(" ",SUBSTITUTE(Table1[[#This Row],[Email]],"."," "))-1)),Table1[[#This Row],[Name]])</f>
        <v>Rajeev Sharma</v>
      </c>
      <c r="K28">
        <v>32</v>
      </c>
      <c r="L28" s="4">
        <f>IF(ISBLANK(Table1[[#This Row],[Age]]),$I$4,Table1[[#This Row],[Age]])</f>
        <v>32</v>
      </c>
      <c r="M28" t="s">
        <v>7</v>
      </c>
      <c r="N28" t="s">
        <v>128</v>
      </c>
      <c r="O28" t="str">
        <f>UPPER(Table1[[#This Row],[Department]])</f>
        <v>FINANCE/ACCOUNTS</v>
      </c>
      <c r="P28" t="s">
        <v>61</v>
      </c>
      <c r="Q28" t="str">
        <f>IF(ISBLANK(Table1[[#This Row],[Email]]),"support@dataisgood.com",Table1[[#This Row],[Email]])</f>
        <v>rajeev.sharma@yahoo.com</v>
      </c>
      <c r="S28" s="4">
        <f>IF(AND(ISNUMBER(Table1[[#This Row],[Phone]]), LEN(Table1[[#This Row],[Phone]])=11, LEFT(Table1[[#This Row],[Phone]],1)="-"), "91" &amp; MID(Table1[[#This Row],[Phone]], 1, 11), Table1[[#This Row],[Phone]])</f>
        <v>0</v>
      </c>
      <c r="T28" t="s">
        <v>62</v>
      </c>
      <c r="U28" t="str">
        <f>IF(ISBLANK(Table1[[#This Row],[Address]]),"Address not Available",Table1[[#This Row],[Address]])</f>
        <v>789 25th St, Jaipur, Rajasthan, India</v>
      </c>
      <c r="V28">
        <v>39835</v>
      </c>
    </row>
    <row r="29" spans="5:22" x14ac:dyDescent="0.25">
      <c r="E29">
        <v>33</v>
      </c>
      <c r="G29" t="str">
        <f>IF(ISBLANK(Table1[[#This Row],[Name]]),PROPER(LEFT(SUBSTITUTE(Table1[[#This Row],[Email]],"."," "), SEARCH(" ",SUBSTITUTE(Table1[[#This Row],[Email]],"."," "))-1)),Table1[[#This Row],[Name]])</f>
        <v>Sarika</v>
      </c>
      <c r="H29" t="str">
        <f>IF(ISBLANK(Table1[[#This Row],[Name]]),PROPER(LEFT(SUBSTITUTE(Table1[[#This Row],[Email]],"."," "), SEARCH(" ",SUBSTITUTE(Table1[[#This Row],[Email]],"."," "))-1)),Table1[[#This Row],[Name]])</f>
        <v>Sarika</v>
      </c>
      <c r="I29" t="str">
        <f>IF(ISBLANK(Table1[[#This Row],[Name]]),PROPER(LEFT(SUBSTITUTE(Table1[[#This Row],[Email]],"."," "), SEARCH(" ",SUBSTITUTE(Table1[[#This Row],[Email]],"."," "))-1)),Table1[[#This Row],[Name]])</f>
        <v>Sarika</v>
      </c>
      <c r="K29">
        <v>33</v>
      </c>
      <c r="L29" s="4">
        <f>IF(ISBLANK(Table1[[#This Row],[Age]]),$I$4,Table1[[#This Row],[Age]])</f>
        <v>33</v>
      </c>
      <c r="M29" t="s">
        <v>8</v>
      </c>
      <c r="N29" t="s">
        <v>140</v>
      </c>
      <c r="O29" t="str">
        <f>UPPER(Table1[[#This Row],[Department]])</f>
        <v>MANAGEMENT</v>
      </c>
      <c r="P29" t="s">
        <v>63</v>
      </c>
      <c r="Q29" t="str">
        <f>IF(ISBLANK(Table1[[#This Row],[Email]]),"support@dataisgood.com",Table1[[#This Row],[Email]])</f>
        <v>sarika.patel@hotmail.com</v>
      </c>
      <c r="R29">
        <f>91-6666666666</f>
        <v>-6666666575</v>
      </c>
      <c r="S29" s="4" t="str">
        <f>IF(AND(ISNUMBER(Table1[[#This Row],[Phone]]), LEN(Table1[[#This Row],[Phone]])=11, LEFT(Table1[[#This Row],[Phone]],1)="-"), "91" &amp; MID(Table1[[#This Row],[Phone]], 1, 11), Table1[[#This Row],[Phone]])</f>
        <v>91-6666666575</v>
      </c>
      <c r="T29" t="s">
        <v>64</v>
      </c>
      <c r="U29" t="str">
        <f>IF(ISBLANK(Table1[[#This Row],[Address]]),"Address not Available",Table1[[#This Row],[Address]])</f>
        <v>654 26th St, Chennai, Tamil Nadu, India</v>
      </c>
      <c r="V29">
        <v>9577</v>
      </c>
    </row>
    <row r="30" spans="5:22" x14ac:dyDescent="0.25">
      <c r="E30">
        <v>34</v>
      </c>
      <c r="F30" t="s">
        <v>65</v>
      </c>
      <c r="G30" t="str">
        <f>IF(ISBLANK(Table1[[#This Row],[Name]]),PROPER(LEFT(SUBSTITUTE(Table1[[#This Row],[Email]],"."," "), SEARCH(" ",SUBSTITUTE(Table1[[#This Row],[Email]],"."," "))-1)),Table1[[#This Row],[Name]])</f>
        <v>Vinay Singh</v>
      </c>
      <c r="H30" t="str">
        <f>IF(ISBLANK(Table1[[#This Row],[Name]]),PROPER(LEFT(SUBSTITUTE(Table1[[#This Row],[Email]],"."," "), SEARCH(" ",SUBSTITUTE(Table1[[#This Row],[Email]],"."," "))-1)),Table1[[#This Row],[Name]])</f>
        <v>Vinay Singh</v>
      </c>
      <c r="I30" t="str">
        <f>IF(ISBLANK(Table1[[#This Row],[Name]]),PROPER(LEFT(SUBSTITUTE(Table1[[#This Row],[Email]],"."," "), SEARCH(" ",SUBSTITUTE(Table1[[#This Row],[Email]],"."," "))-1)),Table1[[#This Row],[Name]])</f>
        <v>Vinay Singh</v>
      </c>
      <c r="K30">
        <v>30</v>
      </c>
      <c r="L30" s="4">
        <f>IF(ISBLANK(Table1[[#This Row],[Age]]),$I$4,Table1[[#This Row],[Age]])</f>
        <v>30</v>
      </c>
      <c r="M30" t="s">
        <v>7</v>
      </c>
      <c r="N30" t="s">
        <v>130</v>
      </c>
      <c r="O30" t="str">
        <f>UPPER(Table1[[#This Row],[Department]])</f>
        <v>DATA SCIENCE</v>
      </c>
      <c r="P30" t="s">
        <v>66</v>
      </c>
      <c r="Q30" t="str">
        <f>IF(ISBLANK(Table1[[#This Row],[Email]]),"support@dataisgood.com",Table1[[#This Row],[Email]])</f>
        <v>vinay.singh@gmail.com</v>
      </c>
      <c r="S30" s="4">
        <f>IF(AND(ISNUMBER(Table1[[#This Row],[Phone]]), LEN(Table1[[#This Row],[Phone]])=11, LEFT(Table1[[#This Row],[Phone]],1)="-"), "91" &amp; MID(Table1[[#This Row],[Phone]], 1, 11), Table1[[#This Row],[Phone]])</f>
        <v>0</v>
      </c>
      <c r="T30" t="s">
        <v>67</v>
      </c>
      <c r="U30" t="str">
        <f>IF(ISBLANK(Table1[[#This Row],[Address]]),"Address not Available",Table1[[#This Row],[Address]])</f>
        <v>321 27th St, Hyderabad, Telangana, India</v>
      </c>
      <c r="V30">
        <v>29480</v>
      </c>
    </row>
    <row r="31" spans="5:22" x14ac:dyDescent="0.25">
      <c r="E31">
        <v>35</v>
      </c>
      <c r="F31" t="s">
        <v>68</v>
      </c>
      <c r="G31" t="str">
        <f>IF(ISBLANK(Table1[[#This Row],[Name]]),PROPER(LEFT(SUBSTITUTE(Table1[[#This Row],[Email]],"."," "), SEARCH(" ",SUBSTITUTE(Table1[[#This Row],[Email]],"."," "))-1)),Table1[[#This Row],[Name]])</f>
        <v>Priya Gupta</v>
      </c>
      <c r="H31" t="str">
        <f>IF(ISBLANK(Table1[[#This Row],[Name]]),PROPER(LEFT(SUBSTITUTE(Table1[[#This Row],[Email]],"."," "), SEARCH(" ",SUBSTITUTE(Table1[[#This Row],[Email]],"."," "))-1)),Table1[[#This Row],[Name]])</f>
        <v>Priya Gupta</v>
      </c>
      <c r="I31" t="str">
        <f>IF(ISBLANK(Table1[[#This Row],[Name]]),PROPER(LEFT(SUBSTITUTE(Table1[[#This Row],[Email]],"."," "), SEARCH(" ",SUBSTITUTE(Table1[[#This Row],[Email]],"."," "))-1)),Table1[[#This Row],[Name]])</f>
        <v>Priya Gupta</v>
      </c>
      <c r="L31" s="4">
        <f>IF(ISBLANK(Table1[[#This Row],[Age]]),$I$4,Table1[[#This Row],[Age]])</f>
        <v>29.685714285714287</v>
      </c>
      <c r="M31" t="s">
        <v>8</v>
      </c>
      <c r="N31" t="s">
        <v>139</v>
      </c>
      <c r="O31" t="str">
        <f>UPPER(Table1[[#This Row],[Department]])</f>
        <v>IT DEVELOPMENT</v>
      </c>
      <c r="P31" t="s">
        <v>69</v>
      </c>
      <c r="Q31" t="str">
        <f>IF(ISBLANK(Table1[[#This Row],[Email]]),"support@dataisgood.com",Table1[[#This Row],[Email]])</f>
        <v>priya.gupta@yahoo.com</v>
      </c>
      <c r="R31">
        <f>91-5555555555</f>
        <v>-5555555464</v>
      </c>
      <c r="S31" s="4" t="str">
        <f>IF(AND(ISNUMBER(Table1[[#This Row],[Phone]]), LEN(Table1[[#This Row],[Phone]])=11, LEFT(Table1[[#This Row],[Phone]],1)="-"), "91" &amp; MID(Table1[[#This Row],[Phone]], 1, 11), Table1[[#This Row],[Phone]])</f>
        <v>91-5555555464</v>
      </c>
      <c r="T31" t="s">
        <v>70</v>
      </c>
      <c r="U31" t="str">
        <f>IF(ISBLANK(Table1[[#This Row],[Address]]),"Address not Available",Table1[[#This Row],[Address]])</f>
        <v>901 28th St, Pune, Maharashtra, India</v>
      </c>
      <c r="V31">
        <v>14254</v>
      </c>
    </row>
    <row r="32" spans="5:22" x14ac:dyDescent="0.25">
      <c r="E32">
        <v>36</v>
      </c>
      <c r="F32" t="s">
        <v>71</v>
      </c>
      <c r="G32" t="str">
        <f>IF(ISBLANK(Table1[[#This Row],[Name]]),PROPER(LEFT(SUBSTITUTE(Table1[[#This Row],[Email]],"."," "), SEARCH(" ",SUBSTITUTE(Table1[[#This Row],[Email]],"."," "))-1)),Table1[[#This Row],[Name]])</f>
        <v>Sushant Patel</v>
      </c>
      <c r="H32" t="str">
        <f>IF(ISBLANK(Table1[[#This Row],[Name]]),PROPER(LEFT(SUBSTITUTE(Table1[[#This Row],[Email]],"."," "), SEARCH(" ",SUBSTITUTE(Table1[[#This Row],[Email]],"."," "))-1)),Table1[[#This Row],[Name]])</f>
        <v>Sushant Patel</v>
      </c>
      <c r="I32" t="str">
        <f>IF(ISBLANK(Table1[[#This Row],[Name]]),PROPER(LEFT(SUBSTITUTE(Table1[[#This Row],[Email]],"."," "), SEARCH(" ",SUBSTITUTE(Table1[[#This Row],[Email]],"."," "))-1)),Table1[[#This Row],[Name]])</f>
        <v>Sushant Patel</v>
      </c>
      <c r="K32">
        <v>29</v>
      </c>
      <c r="L32" s="4">
        <f>IF(ISBLANK(Table1[[#This Row],[Age]]),$I$4,Table1[[#This Row],[Age]])</f>
        <v>29</v>
      </c>
      <c r="M32" t="s">
        <v>7</v>
      </c>
      <c r="N32" t="s">
        <v>120</v>
      </c>
      <c r="O32" t="str">
        <f>UPPER(Table1[[#This Row],[Department]])</f>
        <v>SALES</v>
      </c>
      <c r="P32" t="s">
        <v>72</v>
      </c>
      <c r="Q32" t="str">
        <f>IF(ISBLANK(Table1[[#This Row],[Email]]),"support@dataisgood.com",Table1[[#This Row],[Email]])</f>
        <v>sushant.patel@hotmail.com</v>
      </c>
      <c r="R32">
        <f>91-7777777777</f>
        <v>-7777777686</v>
      </c>
      <c r="S32" s="4" t="str">
        <f>IF(AND(ISNUMBER(Table1[[#This Row],[Phone]]), LEN(Table1[[#This Row],[Phone]])=11, LEFT(Table1[[#This Row],[Phone]],1)="-"), "91" &amp; MID(Table1[[#This Row],[Phone]], 1, 11), Table1[[#This Row],[Phone]])</f>
        <v>91-7777777686</v>
      </c>
      <c r="T32" t="s">
        <v>73</v>
      </c>
      <c r="U32" t="str">
        <f>IF(ISBLANK(Table1[[#This Row],[Address]]),"Address not Available",Table1[[#This Row],[Address]])</f>
        <v>567 29th St, Ahmedabad, Gujarat, India</v>
      </c>
      <c r="V32">
        <v>37358</v>
      </c>
    </row>
    <row r="33" spans="5:22" x14ac:dyDescent="0.25">
      <c r="E33">
        <v>37</v>
      </c>
      <c r="G33" t="str">
        <f>IF(ISBLANK(Table1[[#This Row],[Name]]),PROPER(LEFT(SUBSTITUTE(Table1[[#This Row],[Email]],"."," "), SEARCH(" ",SUBSTITUTE(Table1[[#This Row],[Email]],"."," "))-1)),Table1[[#This Row],[Name]])</f>
        <v>Payal</v>
      </c>
      <c r="H33" t="str">
        <f>IF(ISBLANK(Table1[[#This Row],[Name]]),PROPER(LEFT(SUBSTITUTE(Table1[[#This Row],[Email]],"."," "), SEARCH(" ",SUBSTITUTE(Table1[[#This Row],[Email]],"."," "))-1)),Table1[[#This Row],[Name]])</f>
        <v>Payal</v>
      </c>
      <c r="I33" t="str">
        <f>IF(ISBLANK(Table1[[#This Row],[Name]]),PROPER(LEFT(SUBSTITUTE(Table1[[#This Row],[Email]],"."," "), SEARCH(" ",SUBSTITUTE(Table1[[#This Row],[Email]],"."," "))-1)),Table1[[#This Row],[Name]])</f>
        <v>Payal</v>
      </c>
      <c r="K33">
        <v>31</v>
      </c>
      <c r="L33" s="4">
        <f>IF(ISBLANK(Table1[[#This Row],[Age]]),$I$4,Table1[[#This Row],[Age]])</f>
        <v>31</v>
      </c>
      <c r="M33" t="s">
        <v>8</v>
      </c>
      <c r="N33" t="s">
        <v>127</v>
      </c>
      <c r="O33" t="str">
        <f>UPPER(Table1[[#This Row],[Department]])</f>
        <v>SALES</v>
      </c>
      <c r="P33" t="s">
        <v>74</v>
      </c>
      <c r="Q33" t="str">
        <f>IF(ISBLANK(Table1[[#This Row],[Email]]),"support@dataisgood.com",Table1[[#This Row],[Email]])</f>
        <v>payal.sharma@gmail.com</v>
      </c>
      <c r="S33" s="4">
        <f>IF(AND(ISNUMBER(Table1[[#This Row],[Phone]]), LEN(Table1[[#This Row],[Phone]])=11, LEFT(Table1[[#This Row],[Phone]],1)="-"), "91" &amp; MID(Table1[[#This Row],[Phone]], 1, 11), Table1[[#This Row],[Phone]])</f>
        <v>0</v>
      </c>
      <c r="T33" t="s">
        <v>75</v>
      </c>
      <c r="U33" t="str">
        <f>IF(ISBLANK(Table1[[#This Row],[Address]]),"Address not Available",Table1[[#This Row],[Address]])</f>
        <v>234 30th St, Bangalore, Karnataka, India</v>
      </c>
      <c r="V33">
        <v>48367</v>
      </c>
    </row>
    <row r="34" spans="5:22" x14ac:dyDescent="0.25">
      <c r="E34">
        <v>38</v>
      </c>
      <c r="F34" t="s">
        <v>76</v>
      </c>
      <c r="G34" t="str">
        <f>IF(ISBLANK(Table1[[#This Row],[Name]]),PROPER(LEFT(SUBSTITUTE(Table1[[#This Row],[Email]],"."," "), SEARCH(" ",SUBSTITUTE(Table1[[#This Row],[Email]],"."," "))-1)),Table1[[#This Row],[Name]])</f>
        <v>Mohit Verma</v>
      </c>
      <c r="H34" t="str">
        <f>IF(ISBLANK(Table1[[#This Row],[Name]]),PROPER(LEFT(SUBSTITUTE(Table1[[#This Row],[Email]],"."," "), SEARCH(" ",SUBSTITUTE(Table1[[#This Row],[Email]],"."," "))-1)),Table1[[#This Row],[Name]])</f>
        <v>Mohit Verma</v>
      </c>
      <c r="I34" t="str">
        <f>IF(ISBLANK(Table1[[#This Row],[Name]]),PROPER(LEFT(SUBSTITUTE(Table1[[#This Row],[Email]],"."," "), SEARCH(" ",SUBSTITUTE(Table1[[#This Row],[Email]],"."," "))-1)),Table1[[#This Row],[Name]])</f>
        <v>Mohit Verma</v>
      </c>
      <c r="K34">
        <v>28</v>
      </c>
      <c r="L34" s="4">
        <f>IF(ISBLANK(Table1[[#This Row],[Age]]),$I$4,Table1[[#This Row],[Age]])</f>
        <v>28</v>
      </c>
      <c r="M34" t="s">
        <v>7</v>
      </c>
      <c r="N34" t="s">
        <v>122</v>
      </c>
      <c r="O34" t="str">
        <f>UPPER(Table1[[#This Row],[Department]])</f>
        <v>HR</v>
      </c>
      <c r="P34" t="s">
        <v>77</v>
      </c>
      <c r="Q34" t="str">
        <f>IF(ISBLANK(Table1[[#This Row],[Email]]),"support@dataisgood.com",Table1[[#This Row],[Email]])</f>
        <v>mohit.verma@yahoo.com</v>
      </c>
      <c r="R34">
        <f>91-8888888888</f>
        <v>-8888888797</v>
      </c>
      <c r="S34" s="4" t="str">
        <f>IF(AND(ISNUMBER(Table1[[#This Row],[Phone]]), LEN(Table1[[#This Row],[Phone]])=11, LEFT(Table1[[#This Row],[Phone]],1)="-"), "91" &amp; MID(Table1[[#This Row],[Phone]], 1, 11), Table1[[#This Row],[Phone]])</f>
        <v>91-8888888797</v>
      </c>
      <c r="T34" t="s">
        <v>78</v>
      </c>
      <c r="U34" t="str">
        <f>IF(ISBLANK(Table1[[#This Row],[Address]]),"Address not Available",Table1[[#This Row],[Address]])</f>
        <v>789 31st St, Mumbai, Maharashtra, India</v>
      </c>
      <c r="V34">
        <v>37473</v>
      </c>
    </row>
    <row r="35" spans="5:22" x14ac:dyDescent="0.25">
      <c r="E35">
        <v>39</v>
      </c>
      <c r="F35" t="s">
        <v>79</v>
      </c>
      <c r="G35" t="str">
        <f>IF(ISBLANK(Table1[[#This Row],[Name]]),PROPER(LEFT(SUBSTITUTE(Table1[[#This Row],[Email]],"."," "), SEARCH(" ",SUBSTITUTE(Table1[[#This Row],[Email]],"."," "))-1)),Table1[[#This Row],[Name]])</f>
        <v>Kavita Singh</v>
      </c>
      <c r="H35" t="str">
        <f>IF(ISBLANK(Table1[[#This Row],[Name]]),PROPER(LEFT(SUBSTITUTE(Table1[[#This Row],[Email]],"."," "), SEARCH(" ",SUBSTITUTE(Table1[[#This Row],[Email]],"."," "))-1)),Table1[[#This Row],[Name]])</f>
        <v>Kavita Singh</v>
      </c>
      <c r="I35" t="str">
        <f>IF(ISBLANK(Table1[[#This Row],[Name]]),PROPER(LEFT(SUBSTITUTE(Table1[[#This Row],[Email]],"."," "), SEARCH(" ",SUBSTITUTE(Table1[[#This Row],[Email]],"."," "))-1)),Table1[[#This Row],[Name]])</f>
        <v>Kavita Singh</v>
      </c>
      <c r="K35">
        <v>33</v>
      </c>
      <c r="L35" s="4">
        <f>IF(ISBLANK(Table1[[#This Row],[Age]]),$I$4,Table1[[#This Row],[Age]])</f>
        <v>33</v>
      </c>
      <c r="M35" t="s">
        <v>8</v>
      </c>
      <c r="N35" t="s">
        <v>123</v>
      </c>
      <c r="O35" t="str">
        <f>UPPER(Table1[[#This Row],[Department]])</f>
        <v>HR</v>
      </c>
      <c r="P35" t="s">
        <v>80</v>
      </c>
      <c r="Q35" t="str">
        <f>IF(ISBLANK(Table1[[#This Row],[Email]]),"support@dataisgood.com",Table1[[#This Row],[Email]])</f>
        <v>kavita.singh@hotmail.com</v>
      </c>
      <c r="R35">
        <f>91-9999999999</f>
        <v>-9999999908</v>
      </c>
      <c r="S35" s="4" t="str">
        <f>IF(AND(ISNUMBER(Table1[[#This Row],[Phone]]), LEN(Table1[[#This Row],[Phone]])=11, LEFT(Table1[[#This Row],[Phone]],1)="-"), "91" &amp; MID(Table1[[#This Row],[Phone]], 1, 11), Table1[[#This Row],[Phone]])</f>
        <v>91-9999999908</v>
      </c>
      <c r="T35" t="s">
        <v>81</v>
      </c>
      <c r="U35" t="str">
        <f>IF(ISBLANK(Table1[[#This Row],[Address]]),"Address not Available",Table1[[#This Row],[Address]])</f>
        <v>901 32nd St, Kolkata, West Bengal, India</v>
      </c>
      <c r="V35">
        <v>30628</v>
      </c>
    </row>
    <row r="36" spans="5:22" x14ac:dyDescent="0.25">
      <c r="E36">
        <v>40</v>
      </c>
      <c r="F36" t="s">
        <v>82</v>
      </c>
      <c r="G36" t="str">
        <f>IF(ISBLANK(Table1[[#This Row],[Name]]),PROPER(LEFT(SUBSTITUTE(Table1[[#This Row],[Email]],"."," "), SEARCH(" ",SUBSTITUTE(Table1[[#This Row],[Email]],"."," "))-1)),Table1[[#This Row],[Name]])</f>
        <v>Ankit Patel</v>
      </c>
      <c r="H36" t="str">
        <f>IF(ISBLANK(Table1[[#This Row],[Name]]),PROPER(LEFT(SUBSTITUTE(Table1[[#This Row],[Email]],"."," "), SEARCH(" ",SUBSTITUTE(Table1[[#This Row],[Email]],"."," "))-1)),Table1[[#This Row],[Name]])</f>
        <v>Ankit Patel</v>
      </c>
      <c r="I36" t="str">
        <f>IF(ISBLANK(Table1[[#This Row],[Name]]),PROPER(LEFT(SUBSTITUTE(Table1[[#This Row],[Email]],"."," "), SEARCH(" ",SUBSTITUTE(Table1[[#This Row],[Email]],"."," "))-1)),Table1[[#This Row],[Name]])</f>
        <v>Ankit Patel</v>
      </c>
      <c r="K36">
        <v>30</v>
      </c>
      <c r="L36" s="4">
        <f>IF(ISBLANK(Table1[[#This Row],[Age]]),$I$4,Table1[[#This Row],[Age]])</f>
        <v>30</v>
      </c>
      <c r="M36" t="s">
        <v>7</v>
      </c>
      <c r="N36" t="s">
        <v>125</v>
      </c>
      <c r="O36" t="str">
        <f>UPPER(Table1[[#This Row],[Department]])</f>
        <v>OPERATIONS</v>
      </c>
      <c r="P36" t="s">
        <v>83</v>
      </c>
      <c r="Q36" t="str">
        <f>IF(ISBLANK(Table1[[#This Row],[Email]]),"support@dataisgood.com",Table1[[#This Row],[Email]])</f>
        <v>ankit.patel@gmail.com</v>
      </c>
      <c r="S36" s="4">
        <f>IF(AND(ISNUMBER(Table1[[#This Row],[Phone]]), LEN(Table1[[#This Row],[Phone]])=11, LEFT(Table1[[#This Row],[Phone]],1)="-"), "91" &amp; MID(Table1[[#This Row],[Phone]], 1, 11), Table1[[#This Row],[Phone]])</f>
        <v>0</v>
      </c>
      <c r="T36" t="s">
        <v>84</v>
      </c>
      <c r="U36" t="str">
        <f>IF(ISBLANK(Table1[[#This Row],[Address]]),"Address not Available",Table1[[#This Row],[Address]])</f>
        <v>321 33rd St, Patna, Bihar, India</v>
      </c>
      <c r="V36">
        <v>22018</v>
      </c>
    </row>
    <row r="37" spans="5:22" x14ac:dyDescent="0.25">
      <c r="E37">
        <v>41</v>
      </c>
      <c r="F37" t="s">
        <v>85</v>
      </c>
      <c r="G37" t="str">
        <f>IF(ISBLANK(Table1[[#This Row],[Name]]),PROPER(LEFT(SUBSTITUTE(Table1[[#This Row],[Email]],"."," "), SEARCH(" ",SUBSTITUTE(Table1[[#This Row],[Email]],"."," "))-1)),Table1[[#This Row],[Name]])</f>
        <v>Pooja Mishra</v>
      </c>
      <c r="H37" t="str">
        <f>IF(ISBLANK(Table1[[#This Row],[Name]]),PROPER(LEFT(SUBSTITUTE(Table1[[#This Row],[Email]],"."," "), SEARCH(" ",SUBSTITUTE(Table1[[#This Row],[Email]],"."," "))-1)),Table1[[#This Row],[Name]])</f>
        <v>Pooja Mishra</v>
      </c>
      <c r="I37" t="str">
        <f>IF(ISBLANK(Table1[[#This Row],[Name]]),PROPER(LEFT(SUBSTITUTE(Table1[[#This Row],[Email]],"."," "), SEARCH(" ",SUBSTITUTE(Table1[[#This Row],[Email]],"."," "))-1)),Table1[[#This Row],[Name]])</f>
        <v>Pooja Mishra</v>
      </c>
      <c r="K37">
        <v>27</v>
      </c>
      <c r="L37" s="4">
        <f>IF(ISBLANK(Table1[[#This Row],[Age]]),$I$4,Table1[[#This Row],[Age]])</f>
        <v>27</v>
      </c>
      <c r="M37" t="s">
        <v>8</v>
      </c>
      <c r="N37" t="s">
        <v>131</v>
      </c>
      <c r="O37" t="str">
        <f>UPPER(Table1[[#This Row],[Department]])</f>
        <v>DATA SCIENCE</v>
      </c>
      <c r="P37" t="s">
        <v>86</v>
      </c>
      <c r="Q37" t="str">
        <f>IF(ISBLANK(Table1[[#This Row],[Email]]),"support@dataisgood.com",Table1[[#This Row],[Email]])</f>
        <v>pooja.mishra@yahoo.com</v>
      </c>
      <c r="R37">
        <f>91-7777777777</f>
        <v>-7777777686</v>
      </c>
      <c r="S37" s="4" t="str">
        <f>IF(AND(ISNUMBER(Table1[[#This Row],[Phone]]), LEN(Table1[[#This Row],[Phone]])=11, LEFT(Table1[[#This Row],[Phone]],1)="-"), "91" &amp; MID(Table1[[#This Row],[Phone]], 1, 11), Table1[[#This Row],[Phone]])</f>
        <v>91-7777777686</v>
      </c>
      <c r="T37" t="s">
        <v>87</v>
      </c>
      <c r="U37" t="str">
        <f>IF(ISBLANK(Table1[[#This Row],[Address]]),"Address not Available",Table1[[#This Row],[Address]])</f>
        <v>234 34th St, Bhopal, Madhya Pradesh, India</v>
      </c>
      <c r="V37">
        <v>35747</v>
      </c>
    </row>
    <row r="38" spans="5:22" x14ac:dyDescent="0.25">
      <c r="E38">
        <v>42</v>
      </c>
      <c r="F38" t="s">
        <v>88</v>
      </c>
      <c r="G38" t="str">
        <f>IF(ISBLANK(Table1[[#This Row],[Name]]),PROPER(LEFT(SUBSTITUTE(Table1[[#This Row],[Email]],"."," "), SEARCH(" ",SUBSTITUTE(Table1[[#This Row],[Email]],"."," "))-1)),Table1[[#This Row],[Name]])</f>
        <v>Mohan Kumar</v>
      </c>
      <c r="H38" t="str">
        <f>IF(ISBLANK(Table1[[#This Row],[Name]]),PROPER(LEFT(SUBSTITUTE(Table1[[#This Row],[Email]],"."," "), SEARCH(" ",SUBSTITUTE(Table1[[#This Row],[Email]],"."," "))-1)),Table1[[#This Row],[Name]])</f>
        <v>Mohan Kumar</v>
      </c>
      <c r="I38" t="str">
        <f>IF(ISBLANK(Table1[[#This Row],[Name]]),PROPER(LEFT(SUBSTITUTE(Table1[[#This Row],[Email]],"."," "), SEARCH(" ",SUBSTITUTE(Table1[[#This Row],[Email]],"."," "))-1)),Table1[[#This Row],[Name]])</f>
        <v>Mohan Kumar</v>
      </c>
      <c r="K38">
        <v>29</v>
      </c>
      <c r="L38" s="4">
        <f>IF(ISBLANK(Table1[[#This Row],[Age]]),$I$4,Table1[[#This Row],[Age]])</f>
        <v>29</v>
      </c>
      <c r="M38" t="s">
        <v>7</v>
      </c>
      <c r="N38" t="s">
        <v>127</v>
      </c>
      <c r="O38" t="str">
        <f>UPPER(Table1[[#This Row],[Department]])</f>
        <v>SALES</v>
      </c>
      <c r="P38" t="s">
        <v>89</v>
      </c>
      <c r="Q38" t="str">
        <f>IF(ISBLANK(Table1[[#This Row],[Email]]),"support@dataisgood.com",Table1[[#This Row],[Email]])</f>
        <v>mohan.kumar@gmail.com</v>
      </c>
      <c r="S38" s="4">
        <f>IF(AND(ISNUMBER(Table1[[#This Row],[Phone]]), LEN(Table1[[#This Row],[Phone]])=11, LEFT(Table1[[#This Row],[Phone]],1)="-"), "91" &amp; MID(Table1[[#This Row],[Phone]], 1, 11), Table1[[#This Row],[Phone]])</f>
        <v>0</v>
      </c>
      <c r="T38" t="s">
        <v>90</v>
      </c>
      <c r="U38" t="str">
        <f>IF(ISBLANK(Table1[[#This Row],[Address]]),"Address not Available",Table1[[#This Row],[Address]])</f>
        <v>567 35th St, Lucknow, Uttar Pradesh, India</v>
      </c>
      <c r="V38">
        <v>32258</v>
      </c>
    </row>
    <row r="39" spans="5:22" x14ac:dyDescent="0.25">
      <c r="E39">
        <v>43</v>
      </c>
      <c r="F39" t="s">
        <v>91</v>
      </c>
      <c r="G39" t="str">
        <f>IF(ISBLANK(Table1[[#This Row],[Name]]),PROPER(LEFT(SUBSTITUTE(Table1[[#This Row],[Email]],"."," "), SEARCH(" ",SUBSTITUTE(Table1[[#This Row],[Email]],"."," "))-1)),Table1[[#This Row],[Name]])</f>
        <v>Anjali Gupta</v>
      </c>
      <c r="H39" t="str">
        <f>IF(ISBLANK(Table1[[#This Row],[Name]]),PROPER(LEFT(SUBSTITUTE(Table1[[#This Row],[Email]],"."," "), SEARCH(" ",SUBSTITUTE(Table1[[#This Row],[Email]],"."," "))-1)),Table1[[#This Row],[Name]])</f>
        <v>Anjali Gupta</v>
      </c>
      <c r="I39" t="str">
        <f>IF(ISBLANK(Table1[[#This Row],[Name]]),PROPER(LEFT(SUBSTITUTE(Table1[[#This Row],[Email]],"."," "), SEARCH(" ",SUBSTITUTE(Table1[[#This Row],[Email]],"."," "))-1)),Table1[[#This Row],[Name]])</f>
        <v>Anjali Gupta</v>
      </c>
      <c r="K39">
        <v>26</v>
      </c>
      <c r="L39" s="4">
        <f>IF(ISBLANK(Table1[[#This Row],[Age]]),$I$4,Table1[[#This Row],[Age]])</f>
        <v>26</v>
      </c>
      <c r="M39" t="s">
        <v>8</v>
      </c>
      <c r="N39" t="s">
        <v>128</v>
      </c>
      <c r="O39" t="str">
        <f>UPPER(Table1[[#This Row],[Department]])</f>
        <v>FINANCE/ACCOUNTS</v>
      </c>
      <c r="P39" t="s">
        <v>92</v>
      </c>
      <c r="Q39" t="str">
        <f>IF(ISBLANK(Table1[[#This Row],[Email]]),"support@dataisgood.com",Table1[[#This Row],[Email]])</f>
        <v>anjali.gupta@hotmail.com</v>
      </c>
      <c r="R39">
        <f>91-5555555555</f>
        <v>-5555555464</v>
      </c>
      <c r="S39" s="4" t="str">
        <f>IF(AND(ISNUMBER(Table1[[#This Row],[Phone]]), LEN(Table1[[#This Row],[Phone]])=11, LEFT(Table1[[#This Row],[Phone]],1)="-"), "91" &amp; MID(Table1[[#This Row],[Phone]], 1, 11), Table1[[#This Row],[Phone]])</f>
        <v>91-5555555464</v>
      </c>
      <c r="T39" t="s">
        <v>93</v>
      </c>
      <c r="U39" t="str">
        <f>IF(ISBLANK(Table1[[#This Row],[Address]]),"Address not Available",Table1[[#This Row],[Address]])</f>
        <v>654 36th St, Jaipur, Rajasthan, India</v>
      </c>
      <c r="V39">
        <v>31047</v>
      </c>
    </row>
    <row r="40" spans="5:22" x14ac:dyDescent="0.25">
      <c r="E40">
        <v>44</v>
      </c>
      <c r="G40" t="str">
        <f>IF(ISBLANK(Table1[[#This Row],[Name]]),PROPER(LEFT(SUBSTITUTE(Table1[[#This Row],[Email]],"."," "), SEARCH(" ",SUBSTITUTE(Table1[[#This Row],[Email]],"."," "))-1)),Table1[[#This Row],[Name]])</f>
        <v>Mukesh</v>
      </c>
      <c r="H40" t="str">
        <f>IF(ISBLANK(Table1[[#This Row],[Name]]),PROPER(LEFT(SUBSTITUTE(Table1[[#This Row],[Email]],"."," "), SEARCH(" ",SUBSTITUTE(Table1[[#This Row],[Email]],"."," "))-1)),Table1[[#This Row],[Name]])</f>
        <v>Mukesh</v>
      </c>
      <c r="I40" t="str">
        <f>IF(ISBLANK(Table1[[#This Row],[Name]]),PROPER(LEFT(SUBSTITUTE(Table1[[#This Row],[Email]],"."," "), SEARCH(" ",SUBSTITUTE(Table1[[#This Row],[Email]],"."," "))-1)),Table1[[#This Row],[Name]])</f>
        <v>Mukesh</v>
      </c>
      <c r="K40">
        <v>28</v>
      </c>
      <c r="L40" s="4">
        <f>IF(ISBLANK(Table1[[#This Row],[Age]]),$I$4,Table1[[#This Row],[Age]])</f>
        <v>28</v>
      </c>
      <c r="M40" t="s">
        <v>7</v>
      </c>
      <c r="N40" t="s">
        <v>140</v>
      </c>
      <c r="O40" t="str">
        <f>UPPER(Table1[[#This Row],[Department]])</f>
        <v>MANAGEMENT</v>
      </c>
      <c r="P40" t="s">
        <v>94</v>
      </c>
      <c r="Q40" t="str">
        <f>IF(ISBLANK(Table1[[#This Row],[Email]]),"support@dataisgood.com",Table1[[#This Row],[Email]])</f>
        <v>mukesh.sharma@yahoo.com</v>
      </c>
      <c r="S40" s="4">
        <f>IF(AND(ISNUMBER(Table1[[#This Row],[Phone]]), LEN(Table1[[#This Row],[Phone]])=11, LEFT(Table1[[#This Row],[Phone]],1)="-"), "91" &amp; MID(Table1[[#This Row],[Phone]], 1, 11), Table1[[#This Row],[Phone]])</f>
        <v>0</v>
      </c>
      <c r="T40" t="s">
        <v>95</v>
      </c>
      <c r="U40" t="str">
        <f>IF(ISBLANK(Table1[[#This Row],[Address]]),"Address not Available",Table1[[#This Row],[Address]])</f>
        <v>789 37th St, Chennai, Tamil Nadu, India</v>
      </c>
      <c r="V40">
        <v>31064</v>
      </c>
    </row>
    <row r="41" spans="5:22" x14ac:dyDescent="0.25">
      <c r="E41">
        <v>45</v>
      </c>
      <c r="F41" t="s">
        <v>96</v>
      </c>
      <c r="G41" t="str">
        <f>IF(ISBLANK(Table1[[#This Row],[Name]]),PROPER(LEFT(SUBSTITUTE(Table1[[#This Row],[Email]],"."," "), SEARCH(" ",SUBSTITUTE(Table1[[#This Row],[Email]],"."," "))-1)),Table1[[#This Row],[Name]])</f>
        <v>Arjun Singh</v>
      </c>
      <c r="H41" t="str">
        <f>IF(ISBLANK(Table1[[#This Row],[Name]]),PROPER(LEFT(SUBSTITUTE(Table1[[#This Row],[Email]],"."," "), SEARCH(" ",SUBSTITUTE(Table1[[#This Row],[Email]],"."," "))-1)),Table1[[#This Row],[Name]])</f>
        <v>Arjun Singh</v>
      </c>
      <c r="I41" t="str">
        <f>IF(ISBLANK(Table1[[#This Row],[Name]]),PROPER(LEFT(SUBSTITUTE(Table1[[#This Row],[Email]],"."," "), SEARCH(" ",SUBSTITUTE(Table1[[#This Row],[Email]],"."," "))-1)),Table1[[#This Row],[Name]])</f>
        <v>Arjun Singh</v>
      </c>
      <c r="K41">
        <v>31</v>
      </c>
      <c r="L41" s="4">
        <f>IF(ISBLANK(Table1[[#This Row],[Age]]),$I$4,Table1[[#This Row],[Age]])</f>
        <v>31</v>
      </c>
      <c r="M41" t="s">
        <v>7</v>
      </c>
      <c r="N41" t="s">
        <v>130</v>
      </c>
      <c r="O41" t="str">
        <f>UPPER(Table1[[#This Row],[Department]])</f>
        <v>DATA SCIENCE</v>
      </c>
      <c r="P41" t="s">
        <v>97</v>
      </c>
      <c r="Q41" t="str">
        <f>IF(ISBLANK(Table1[[#This Row],[Email]]),"support@dataisgood.com",Table1[[#This Row],[Email]])</f>
        <v>arjun.singh@gmail.com</v>
      </c>
      <c r="R41">
        <f>91-8888888888</f>
        <v>-8888888797</v>
      </c>
      <c r="S41" s="4" t="str">
        <f>IF(AND(ISNUMBER(Table1[[#This Row],[Phone]]), LEN(Table1[[#This Row],[Phone]])=11, LEFT(Table1[[#This Row],[Phone]],1)="-"), "91" &amp; MID(Table1[[#This Row],[Phone]], 1, 11), Table1[[#This Row],[Phone]])</f>
        <v>91-8888888797</v>
      </c>
      <c r="U41" t="str">
        <f>IF(ISBLANK(Table1[[#This Row],[Address]]),"Address not Available",Table1[[#This Row],[Address]])</f>
        <v>Address not Available</v>
      </c>
      <c r="V41">
        <v>3108</v>
      </c>
    </row>
    <row r="42" spans="5:22" x14ac:dyDescent="0.25">
      <c r="E42">
        <v>46</v>
      </c>
      <c r="F42" t="s">
        <v>98</v>
      </c>
      <c r="G42" t="str">
        <f>IF(ISBLANK(Table1[[#This Row],[Name]]),PROPER(LEFT(SUBSTITUTE(Table1[[#This Row],[Email]],"."," "), SEARCH(" ",SUBSTITUTE(Table1[[#This Row],[Email]],"."," "))-1)),Table1[[#This Row],[Name]])</f>
        <v>Divya Patel</v>
      </c>
      <c r="H42" t="str">
        <f>IF(ISBLANK(Table1[[#This Row],[Name]]),PROPER(LEFT(SUBSTITUTE(Table1[[#This Row],[Email]],"."," "), SEARCH(" ",SUBSTITUTE(Table1[[#This Row],[Email]],"."," "))-1)),Table1[[#This Row],[Name]])</f>
        <v>Divya Patel</v>
      </c>
      <c r="I42" t="str">
        <f>IF(ISBLANK(Table1[[#This Row],[Name]]),PROPER(LEFT(SUBSTITUTE(Table1[[#This Row],[Email]],"."," "), SEARCH(" ",SUBSTITUTE(Table1[[#This Row],[Email]],"."," "))-1)),Table1[[#This Row],[Name]])</f>
        <v>Divya Patel</v>
      </c>
      <c r="K42">
        <v>27</v>
      </c>
      <c r="L42" s="4">
        <f>IF(ISBLANK(Table1[[#This Row],[Age]]),$I$4,Table1[[#This Row],[Age]])</f>
        <v>27</v>
      </c>
      <c r="M42" t="s">
        <v>8</v>
      </c>
      <c r="N42" t="s">
        <v>122</v>
      </c>
      <c r="O42" t="str">
        <f>UPPER(Table1[[#This Row],[Department]])</f>
        <v>HR</v>
      </c>
      <c r="P42" t="s">
        <v>99</v>
      </c>
      <c r="Q42" t="str">
        <f>IF(ISBLANK(Table1[[#This Row],[Email]]),"support@dataisgood.com",Table1[[#This Row],[Email]])</f>
        <v>divya.patel@yahoo.com</v>
      </c>
      <c r="R42">
        <f>91-7777777777</f>
        <v>-7777777686</v>
      </c>
      <c r="S42" s="4" t="str">
        <f>IF(AND(ISNUMBER(Table1[[#This Row],[Phone]]), LEN(Table1[[#This Row],[Phone]])=11, LEFT(Table1[[#This Row],[Phone]],1)="-"), "91" &amp; MID(Table1[[#This Row],[Phone]], 1, 11), Table1[[#This Row],[Phone]])</f>
        <v>91-7777777686</v>
      </c>
      <c r="T42" t="s">
        <v>100</v>
      </c>
      <c r="U42" t="str">
        <f>IF(ISBLANK(Table1[[#This Row],[Address]]),"Address not Available",Table1[[#This Row],[Address]])</f>
        <v>567 38th St, Hyderabad, Telangana, India</v>
      </c>
      <c r="V42">
        <v>20205</v>
      </c>
    </row>
    <row r="43" spans="5:22" x14ac:dyDescent="0.25">
      <c r="E43">
        <v>47</v>
      </c>
      <c r="G43" t="str">
        <f>IF(ISBLANK(Table1[[#This Row],[Name]]),PROPER(LEFT(SUBSTITUTE(Table1[[#This Row],[Email]],"."," "), SEARCH(" ",SUBSTITUTE(Table1[[#This Row],[Email]],"."," "))-1)),Table1[[#This Row],[Name]])</f>
        <v>Gaurav</v>
      </c>
      <c r="H43" t="str">
        <f>IF(ISBLANK(Table1[[#This Row],[Name]]),PROPER(LEFT(SUBSTITUTE(Table1[[#This Row],[Email]],"."," "), SEARCH(" ",SUBSTITUTE(Table1[[#This Row],[Email]],"."," "))-1)),Table1[[#This Row],[Name]])</f>
        <v>Gaurav</v>
      </c>
      <c r="I43" t="str">
        <f>IF(ISBLANK(Table1[[#This Row],[Name]]),PROPER(LEFT(SUBSTITUTE(Table1[[#This Row],[Email]],"."," "), SEARCH(" ",SUBSTITUTE(Table1[[#This Row],[Email]],"."," "))-1)),Table1[[#This Row],[Name]])</f>
        <v>Gaurav</v>
      </c>
      <c r="K43">
        <v>29</v>
      </c>
      <c r="L43" s="4">
        <f>IF(ISBLANK(Table1[[#This Row],[Age]]),$I$4,Table1[[#This Row],[Age]])</f>
        <v>29</v>
      </c>
      <c r="M43" t="s">
        <v>7</v>
      </c>
      <c r="N43" t="s">
        <v>123</v>
      </c>
      <c r="O43" t="str">
        <f>UPPER(Table1[[#This Row],[Department]])</f>
        <v>HR</v>
      </c>
      <c r="P43" t="s">
        <v>101</v>
      </c>
      <c r="Q43" t="str">
        <f>IF(ISBLANK(Table1[[#This Row],[Email]]),"support@dataisgood.com",Table1[[#This Row],[Email]])</f>
        <v>gaurav.kumar@gmail.com</v>
      </c>
      <c r="S43" s="4">
        <f>IF(AND(ISNUMBER(Table1[[#This Row],[Phone]]), LEN(Table1[[#This Row],[Phone]])=11, LEFT(Table1[[#This Row],[Phone]],1)="-"), "91" &amp; MID(Table1[[#This Row],[Phone]], 1, 11), Table1[[#This Row],[Phone]])</f>
        <v>0</v>
      </c>
      <c r="T43" t="s">
        <v>102</v>
      </c>
      <c r="U43" t="str">
        <f>IF(ISBLANK(Table1[[#This Row],[Address]]),"Address not Available",Table1[[#This Row],[Address]])</f>
        <v>234 39th St, Pune, Maharashtra, India</v>
      </c>
      <c r="V43">
        <v>8746</v>
      </c>
    </row>
    <row r="44" spans="5:22" x14ac:dyDescent="0.25">
      <c r="E44">
        <v>48</v>
      </c>
      <c r="F44" t="s">
        <v>103</v>
      </c>
      <c r="G44" t="str">
        <f>IF(ISBLANK(Table1[[#This Row],[Name]]),PROPER(LEFT(SUBSTITUTE(Table1[[#This Row],[Email]],"."," "), SEARCH(" ",SUBSTITUTE(Table1[[#This Row],[Email]],"."," "))-1)),Table1[[#This Row],[Name]])</f>
        <v>Aditi Shah</v>
      </c>
      <c r="H44" t="str">
        <f>IF(ISBLANK(Table1[[#This Row],[Name]]),PROPER(LEFT(SUBSTITUTE(Table1[[#This Row],[Email]],"."," "), SEARCH(" ",SUBSTITUTE(Table1[[#This Row],[Email]],"."," "))-1)),Table1[[#This Row],[Name]])</f>
        <v>Aditi Shah</v>
      </c>
      <c r="I44" t="str">
        <f>IF(ISBLANK(Table1[[#This Row],[Name]]),PROPER(LEFT(SUBSTITUTE(Table1[[#This Row],[Email]],"."," "), SEARCH(" ",SUBSTITUTE(Table1[[#This Row],[Email]],"."," "))-1)),Table1[[#This Row],[Name]])</f>
        <v>Aditi Shah</v>
      </c>
      <c r="K44">
        <v>32</v>
      </c>
      <c r="L44" s="4">
        <f>IF(ISBLANK(Table1[[#This Row],[Age]]),$I$4,Table1[[#This Row],[Age]])</f>
        <v>32</v>
      </c>
      <c r="M44" t="s">
        <v>8</v>
      </c>
      <c r="N44" t="s">
        <v>139</v>
      </c>
      <c r="O44" t="str">
        <f>UPPER(Table1[[#This Row],[Department]])</f>
        <v>IT DEVELOPMENT</v>
      </c>
      <c r="P44" t="s">
        <v>104</v>
      </c>
      <c r="Q44" t="str">
        <f>IF(ISBLANK(Table1[[#This Row],[Email]]),"support@dataisgood.com",Table1[[#This Row],[Email]])</f>
        <v>aditi.shah@hotmail.com</v>
      </c>
      <c r="R44">
        <f>91-6666666666</f>
        <v>-6666666575</v>
      </c>
      <c r="S44" s="4" t="str">
        <f>IF(AND(ISNUMBER(Table1[[#This Row],[Phone]]), LEN(Table1[[#This Row],[Phone]])=11, LEFT(Table1[[#This Row],[Phone]],1)="-"), "91" &amp; MID(Table1[[#This Row],[Phone]], 1, 11), Table1[[#This Row],[Phone]])</f>
        <v>91-6666666575</v>
      </c>
      <c r="T44" t="s">
        <v>105</v>
      </c>
      <c r="U44" t="str">
        <f>IF(ISBLANK(Table1[[#This Row],[Address]]),"Address not Available",Table1[[#This Row],[Address]])</f>
        <v>901 40th St, Ahmedabad, Gujarat, India</v>
      </c>
      <c r="V44">
        <v>15531</v>
      </c>
    </row>
    <row r="45" spans="5:22" x14ac:dyDescent="0.25">
      <c r="E45">
        <v>49</v>
      </c>
      <c r="F45" t="s">
        <v>106</v>
      </c>
      <c r="G45" t="str">
        <f>IF(ISBLANK(Table1[[#This Row],[Name]]),PROPER(LEFT(SUBSTITUTE(Table1[[#This Row],[Email]],"."," "), SEARCH(" ",SUBSTITUTE(Table1[[#This Row],[Email]],"."," "))-1)),Table1[[#This Row],[Name]])</f>
        <v>Sandeep Singh</v>
      </c>
      <c r="H45" t="str">
        <f>IF(ISBLANK(Table1[[#This Row],[Name]]),PROPER(LEFT(SUBSTITUTE(Table1[[#This Row],[Email]],"."," "), SEARCH(" ",SUBSTITUTE(Table1[[#This Row],[Email]],"."," "))-1)),Table1[[#This Row],[Name]])</f>
        <v>Sandeep Singh</v>
      </c>
      <c r="I45" t="str">
        <f>IF(ISBLANK(Table1[[#This Row],[Name]]),PROPER(LEFT(SUBSTITUTE(Table1[[#This Row],[Email]],"."," "), SEARCH(" ",SUBSTITUTE(Table1[[#This Row],[Email]],"."," "))-1)),Table1[[#This Row],[Name]])</f>
        <v>Sandeep Singh</v>
      </c>
      <c r="L45" s="4">
        <f>IF(ISBLANK(Table1[[#This Row],[Age]]),$I$4,Table1[[#This Row],[Age]])</f>
        <v>29.685714285714287</v>
      </c>
      <c r="M45" t="s">
        <v>7</v>
      </c>
      <c r="N45" t="s">
        <v>120</v>
      </c>
      <c r="O45" t="str">
        <f>UPPER(Table1[[#This Row],[Department]])</f>
        <v>SALES</v>
      </c>
      <c r="P45" t="s">
        <v>107</v>
      </c>
      <c r="Q45" t="str">
        <f>IF(ISBLANK(Table1[[#This Row],[Email]]),"support@dataisgood.com",Table1[[#This Row],[Email]])</f>
        <v>sandeep.singh@yahoo.com</v>
      </c>
      <c r="R45">
        <f>91-5555555555</f>
        <v>-5555555464</v>
      </c>
      <c r="S45" s="4" t="str">
        <f>IF(AND(ISNUMBER(Table1[[#This Row],[Phone]]), LEN(Table1[[#This Row],[Phone]])=11, LEFT(Table1[[#This Row],[Phone]],1)="-"), "91" &amp; MID(Table1[[#This Row],[Phone]], 1, 11), Table1[[#This Row],[Phone]])</f>
        <v>91-5555555464</v>
      </c>
      <c r="T45" t="s">
        <v>108</v>
      </c>
      <c r="U45" t="str">
        <f>IF(ISBLANK(Table1[[#This Row],[Address]]),"Address not Available",Table1[[#This Row],[Address]])</f>
        <v>321 41st St, Bangalore, Karnataka, India</v>
      </c>
      <c r="V45">
        <v>23055</v>
      </c>
    </row>
    <row r="46" spans="5:22" x14ac:dyDescent="0.25">
      <c r="E46">
        <v>50</v>
      </c>
      <c r="F46" t="s">
        <v>109</v>
      </c>
      <c r="G46" t="str">
        <f>IF(ISBLANK(Table1[[#This Row],[Name]]),PROPER(LEFT(SUBSTITUTE(Table1[[#This Row],[Email]],"."," "), SEARCH(" ",SUBSTITUTE(Table1[[#This Row],[Email]],"."," "))-1)),Table1[[#This Row],[Name]])</f>
        <v>Shalini Sharma</v>
      </c>
      <c r="H46" t="str">
        <f>IF(ISBLANK(Table1[[#This Row],[Name]]),PROPER(LEFT(SUBSTITUTE(Table1[[#This Row],[Email]],"."," "), SEARCH(" ",SUBSTITUTE(Table1[[#This Row],[Email]],"."," "))-1)),Table1[[#This Row],[Name]])</f>
        <v>Shalini Sharma</v>
      </c>
      <c r="I46" t="str">
        <f>IF(ISBLANK(Table1[[#This Row],[Name]]),PROPER(LEFT(SUBSTITUTE(Table1[[#This Row],[Email]],"."," "), SEARCH(" ",SUBSTITUTE(Table1[[#This Row],[Email]],"."," "))-1)),Table1[[#This Row],[Name]])</f>
        <v>Shalini Sharma</v>
      </c>
      <c r="K46">
        <v>30</v>
      </c>
      <c r="L46" s="4">
        <f>IF(ISBLANK(Table1[[#This Row],[Age]]),$I$4,Table1[[#This Row],[Age]])</f>
        <v>30</v>
      </c>
      <c r="M46" t="s">
        <v>8</v>
      </c>
      <c r="N46" t="s">
        <v>127</v>
      </c>
      <c r="O46" t="str">
        <f>UPPER(Table1[[#This Row],[Department]])</f>
        <v>SALES</v>
      </c>
      <c r="P46" t="s">
        <v>110</v>
      </c>
      <c r="Q46" t="str">
        <f>IF(ISBLANK(Table1[[#This Row],[Email]]),"support@dataisgood.com",Table1[[#This Row],[Email]])</f>
        <v>shalini.sharma@gmail.com</v>
      </c>
      <c r="S46" s="4">
        <f>IF(AND(ISNUMBER(Table1[[#This Row],[Phone]]), LEN(Table1[[#This Row],[Phone]])=11, LEFT(Table1[[#This Row],[Phone]],1)="-"), "91" &amp; MID(Table1[[#This Row],[Phone]], 1, 11), Table1[[#This Row],[Phone]])</f>
        <v>0</v>
      </c>
      <c r="T46" t="s">
        <v>111</v>
      </c>
      <c r="U46" t="str">
        <f>IF(ISBLANK(Table1[[#This Row],[Address]]),"Address not Available",Table1[[#This Row],[Address]])</f>
        <v>789 42nd St, Mumbai, Maharashtra, India</v>
      </c>
      <c r="V46">
        <v>18647</v>
      </c>
    </row>
  </sheetData>
  <phoneticPr fontId="2" type="noConversion"/>
  <conditionalFormatting sqref="E7:V46">
    <cfRule type="top10" dxfId="2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8B27A-08A8-46C9-A01A-C4FBF6879895}">
  <sheetPr codeName="Sheet2"/>
  <dimension ref="A1:A11"/>
  <sheetViews>
    <sheetView workbookViewId="0">
      <selection activeCell="A11" sqref="A11"/>
    </sheetView>
  </sheetViews>
  <sheetFormatPr defaultRowHeight="15" x14ac:dyDescent="0.25"/>
  <cols>
    <col min="1" max="1" width="16.85546875" bestFit="1" customWidth="1"/>
  </cols>
  <sheetData>
    <row r="1" spans="1:1" x14ac:dyDescent="0.25">
      <c r="A1" s="2" t="s">
        <v>125</v>
      </c>
    </row>
    <row r="2" spans="1:1" x14ac:dyDescent="0.25">
      <c r="A2" s="3" t="s">
        <v>126</v>
      </c>
    </row>
    <row r="3" spans="1:1" x14ac:dyDescent="0.25">
      <c r="A3" s="2" t="s">
        <v>119</v>
      </c>
    </row>
    <row r="4" spans="1:1" x14ac:dyDescent="0.25">
      <c r="A4" s="3" t="s">
        <v>120</v>
      </c>
    </row>
    <row r="5" spans="1:1" x14ac:dyDescent="0.25">
      <c r="A5" s="2" t="s">
        <v>121</v>
      </c>
    </row>
    <row r="6" spans="1:1" x14ac:dyDescent="0.25">
      <c r="A6" s="3" t="s">
        <v>131</v>
      </c>
    </row>
    <row r="7" spans="1:1" x14ac:dyDescent="0.25">
      <c r="A7" s="3" t="s">
        <v>125</v>
      </c>
    </row>
    <row r="8" spans="1:1" x14ac:dyDescent="0.25">
      <c r="A8" s="2" t="s">
        <v>128</v>
      </c>
    </row>
    <row r="9" spans="1:1" x14ac:dyDescent="0.25">
      <c r="A9" s="3" t="s">
        <v>129</v>
      </c>
    </row>
    <row r="10" spans="1:1" x14ac:dyDescent="0.25">
      <c r="A10" s="2" t="s">
        <v>122</v>
      </c>
    </row>
    <row r="11" spans="1:1" x14ac:dyDescent="0.25">
      <c r="A11" s="2" t="s">
        <v>124</v>
      </c>
    </row>
  </sheetData>
  <conditionalFormatting sqref="A1:A11">
    <cfRule type="top10" dxfId="1" priority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Administrator</cp:lastModifiedBy>
  <dcterms:created xsi:type="dcterms:W3CDTF">2023-04-26T07:21:03Z</dcterms:created>
  <dcterms:modified xsi:type="dcterms:W3CDTF">2023-07-22T08:40:23Z</dcterms:modified>
</cp:coreProperties>
</file>